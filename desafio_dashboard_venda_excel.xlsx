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ays\Documents\Cursos DIO\Desafios\Transformando dados em informações\"/>
    </mc:Choice>
  </mc:AlternateContent>
  <xr:revisionPtr revIDLastSave="0" documentId="13_ncr:1_{3B4257B4-7484-4C5A-8634-C772A4181461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3" l="1"/>
  <c r="E27" i="3"/>
</calcChain>
</file>

<file path=xl/sharedStrings.xml><?xml version="1.0" encoding="utf-8"?>
<sst xmlns="http://schemas.openxmlformats.org/spreadsheetml/2006/main" count="2022" uniqueCount="326">
  <si>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</si>
  <si>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</si>
  <si>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</si>
  <si>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</si>
  <si>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</si>
  <si>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</si>
  <si>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</si>
  <si>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</si>
  <si>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</si>
  <si>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</si>
  <si>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</si>
  <si>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</si>
  <si>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</si>
  <si>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</si>
  <si>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</si>
  <si>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</si>
  <si>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</si>
  <si>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</si>
  <si>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</si>
  <si>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</si>
  <si>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</si>
  <si>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</si>
  <si>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</si>
  <si>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</si>
  <si>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</si>
  <si>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</si>
  <si>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</si>
  <si>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</si>
  <si>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</si>
  <si>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</si>
  <si>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</si>
  <si>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</si>
  <si>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</si>
  <si>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</si>
  <si>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</si>
  <si>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</si>
  <si>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</si>
  <si>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</si>
  <si>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</si>
  <si>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</si>
  <si>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</si>
  <si>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</si>
  <si>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</si>
  <si>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</si>
  <si>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</si>
  <si>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</si>
  <si>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</si>
  <si>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</si>
  <si>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</si>
  <si>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</si>
  <si>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</si>
  <si>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</si>
  <si>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</si>
  <si>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</si>
  <si>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</si>
  <si>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</si>
  <si>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</si>
  <si>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</si>
  <si>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</si>
  <si>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</si>
  <si>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</si>
  <si>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</si>
  <si>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</si>
  <si>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</si>
  <si>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</si>
  <si>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</si>
  <si>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</si>
  <si>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</si>
  <si>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</si>
  <si>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</si>
  <si>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</si>
  <si>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</si>
  <si>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</si>
  <si>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</si>
  <si>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</si>
  <si>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</si>
  <si>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</si>
  <si>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</si>
  <si>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</si>
  <si>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</si>
  <si>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</si>
  <si>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</si>
  <si>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</si>
  <si>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</si>
  <si>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</si>
  <si>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</si>
  <si>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</si>
  <si>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</si>
  <si>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</si>
  <si>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</si>
  <si>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</si>
  <si>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</si>
  <si>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</si>
  <si>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</si>
  <si>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</si>
  <si>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</si>
  <si>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</si>
  <si>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</si>
  <si>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</si>
  <si>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</si>
  <si>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</si>
  <si>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</si>
  <si>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</si>
  <si>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</si>
  <si>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</si>
  <si>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</si>
  <si>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</si>
  <si>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</si>
  <si>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</si>
  <si>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</si>
  <si>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</si>
  <si>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</si>
  <si>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</si>
  <si>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</si>
  <si>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</si>
  <si>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</si>
  <si>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</si>
  <si>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</si>
  <si>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</si>
  <si>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</si>
  <si>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</si>
  <si>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</si>
  <si>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</si>
  <si>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</si>
  <si>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</si>
  <si>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</si>
  <si>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</si>
  <si>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</si>
  <si>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</si>
  <si>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</si>
  <si>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</si>
  <si>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</si>
  <si>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</si>
  <si>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</si>
  <si>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</si>
  <si>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</si>
  <si>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</si>
  <si>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</si>
  <si>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</si>
  <si>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</si>
  <si>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</si>
  <si>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</si>
  <si>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</si>
  <si>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</si>
  <si>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</si>
  <si>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</si>
  <si>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</si>
  <si>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</si>
  <si>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</si>
  <si>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</si>
  <si>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</si>
  <si>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</si>
  <si>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</si>
  <si>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</si>
  <si>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</si>
  <si>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</si>
  <si>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</si>
  <si>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</si>
  <si>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</si>
  <si>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</si>
  <si>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</si>
  <si>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</si>
  <si>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</si>
  <si>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</si>
  <si>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</si>
  <si>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</si>
  <si>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</si>
  <si>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</si>
  <si>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</si>
  <si>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</si>
  <si>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</si>
  <si>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</si>
  <si>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</si>
  <si>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</si>
  <si>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</si>
  <si>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</si>
  <si>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</si>
  <si>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</si>
  <si>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</si>
  <si>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</si>
  <si>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</si>
  <si>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</si>
  <si>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</si>
  <si>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</si>
  <si>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</si>
  <si>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</si>
  <si>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</si>
  <si>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</si>
  <si>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</si>
  <si>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</si>
  <si>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</si>
  <si>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</si>
  <si>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</si>
  <si>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</si>
  <si>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</si>
  <si>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</si>
  <si>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</si>
  <si>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</si>
  <si>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</si>
  <si>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</si>
  <si>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</si>
  <si>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</si>
  <si>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</si>
  <si>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</si>
  <si>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</si>
  <si>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</si>
  <si>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</si>
  <si>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</si>
  <si>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</si>
  <si>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</si>
  <si>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</si>
  <si>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</si>
  <si>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</si>
  <si>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</si>
  <si>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</si>
  <si>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</si>
  <si>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</si>
  <si>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</si>
  <si>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</si>
  <si>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</si>
  <si>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</si>
  <si>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</si>
  <si>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</si>
  <si>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</si>
  <si>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</si>
  <si>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</si>
  <si>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</si>
  <si>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</si>
  <si>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</si>
  <si>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</si>
  <si>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</si>
  <si>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</si>
  <si>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</si>
  <si>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</si>
  <si>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</si>
  <si>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</si>
  <si>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</si>
  <si>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</si>
  <si>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</si>
  <si>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</si>
  <si>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</si>
  <si>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</si>
  <si>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</si>
  <si>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</si>
  <si>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</si>
  <si>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</si>
  <si>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</si>
  <si>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</si>
  <si>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</si>
  <si>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</si>
  <si>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</si>
  <si>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</si>
  <si>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</si>
  <si>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</si>
  <si>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</si>
  <si>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</si>
  <si>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</si>
  <si>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</si>
  <si>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</si>
  <si>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</si>
  <si>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</si>
  <si>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</si>
  <si>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</si>
  <si>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</si>
  <si>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</si>
  <si>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</si>
  <si>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</si>
  <si>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</si>
  <si>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</si>
  <si>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</si>
  <si>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</si>
  <si>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</si>
  <si>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</si>
  <si>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</si>
  <si>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</si>
  <si>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</si>
  <si>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</si>
  <si>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</si>
  <si>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</si>
  <si>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</si>
  <si>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</si>
  <si>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</si>
  <si>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</si>
  <si>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</si>
  <si>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</si>
  <si>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</si>
  <si>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</si>
  <si>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</si>
  <si>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</si>
  <si>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</si>
  <si>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</si>
  <si>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</si>
  <si>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</si>
  <si>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</si>
  <si>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</si>
  <si>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</si>
  <si>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</si>
  <si>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</si>
  <si>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</si>
  <si>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</si>
  <si>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</si>
  <si>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</si>
  <si>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</si>
  <si>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</si>
  <si>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</si>
  <si>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</si>
  <si>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</si>
  <si>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</si>
  <si>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</si>
  <si>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</si>
  <si>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</si>
  <si>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</si>
  <si>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</si>
  <si>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Informação: é uma pergunta de negócio, respondida através de alguma análise de dados específica</t>
  </si>
  <si>
    <t>Rótulos de Linha</t>
  </si>
  <si>
    <t>Total Geral</t>
  </si>
  <si>
    <t>Soma de Total Value</t>
  </si>
  <si>
    <r>
      <t xml:space="preserve">Pergunta de negócio 1: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</si>
  <si>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2: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auto renovação</t>
    </r>
  </si>
  <si>
    <t>XBOX GAME PASS SUBCRIPTIONS SALES</t>
  </si>
  <si>
    <r>
      <t xml:space="preserve">Pergunta de negócio 3: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assinaturas do</t>
    </r>
    <r>
      <rPr>
        <b/>
        <sz val="11"/>
        <color theme="1"/>
        <rFont val="Aptos Narrow"/>
        <scheme val="minor"/>
      </rPr>
      <t xml:space="preserve"> EA Play</t>
    </r>
  </si>
  <si>
    <t>Soma de EA Play Season Pass</t>
  </si>
  <si>
    <r>
      <t>Pergunta de negócio 4: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assinaturas do </t>
    </r>
    <r>
      <rPr>
        <b/>
        <sz val="11"/>
        <color theme="1"/>
        <rFont val="Aptos Narrow"/>
        <scheme val="minor"/>
      </rPr>
      <t>Minecraft Season Pass</t>
    </r>
  </si>
  <si>
    <t>Soma de Minecraft Season Pass Price</t>
  </si>
  <si>
    <t>&gt; Bem vindo, Tiago</t>
  </si>
  <si>
    <t>Calculation period: 01/01/2014 - 31/12/2024 | Update date 11/11/2025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</si>
</sst>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00B050"/>
      <name val="Segoe UI"/>
      <family val="2"/>
    </font>
    <font>
      <sz val="11"/>
      <color theme="1"/>
      <name val="Segoe UI"/>
      <family val="2"/>
    </font>
    <font>
      <b/>
      <sz val="10"/>
      <color theme="0"/>
      <name val="Aptos Narrow"/>
      <scheme val="minor"/>
    </font>
    <font>
      <sz val="10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3" fillId="0" borderId="0" xfId="2" applyFont="1" applyAlignment="1">
      <alignment horizontal="center" vertical="center" wrapText="1"/>
    </xf>
    <xf numFmtId="44" fontId="0" fillId="0" borderId="0" xfId="2" applyFont="1"/>
    <xf numFmtId="0" fontId="0" fillId="8" borderId="0" xfId="0" applyFill="1"/>
    <xf numFmtId="0" fontId="5" fillId="0" borderId="2" xfId="1" applyFont="1" applyBorder="1"/>
    <xf numFmtId="0" fontId="6" fillId="0" borderId="0" xfId="0" applyFont="1"/>
    <xf numFmtId="44" fontId="0" fillId="0" borderId="0" xfId="0" applyNumberFormat="1"/>
    <xf numFmtId="0" fontId="5" fillId="0" borderId="2" xfId="1" applyFont="1" applyBorder="1" applyAlignment="1">
      <alignment horizontal="left" indent="5"/>
    </xf>
    <xf numFmtId="0" fontId="7" fillId="8" borderId="0" xfId="0" applyFont="1" applyFill="1" applyAlignment="1">
      <alignment horizontal="center" vertical="center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2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1"/>
      </font>
      <fill>
        <patternFill>
          <bgColor rgb="FF00B05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08A2C45B-73E9-424D-961D-26AEFED2F0E9}">
      <tableStyleElement type="wholeTable" dxfId="22"/>
      <tableStyleElement type="headerRow" dxfId="21"/>
    </tableStyle>
    <tableStyle name="SlicerStyleLight6 2 2" pivot="0" table="0" count="10" xr9:uid="{AFD5F160-59D7-4A2E-9DDF-DE25C0C0B84C}">
      <tableStyleElement type="wholeTable" dxfId="20"/>
      <tableStyleElement type="headerRow" dxfId="19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[desafio_dashboard_venda_excel.xlsx]C̳álculos!tbl_anual_total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086281859219245E-2"/>
          <c:y val="5.8143773694954798E-2"/>
          <c:w val="0.93578350379682229"/>
          <c:h val="0.877041411490230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D-47E3-A55D-447669558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3886223"/>
        <c:axId val="1683886639"/>
      </c:barChart>
      <c:catAx>
        <c:axId val="1683886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886639"/>
        <c:crosses val="autoZero"/>
        <c:auto val="1"/>
        <c:lblAlgn val="ctr"/>
        <c:lblOffset val="100"/>
        <c:noMultiLvlLbl val="0"/>
      </c:catAx>
      <c:valAx>
        <c:axId val="168388663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683886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43265</xdr:colOff>
      <xdr:row>0</xdr:row>
      <xdr:rowOff>15719</xdr:rowOff>
    </xdr:from>
    <xdr:to>
      <xdr:col>2</xdr:col>
      <xdr:colOff>505158</xdr:colOff>
      <xdr:row>2</xdr:row>
      <xdr:rowOff>261936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8B7DFD-366E-4F0C-8389-1F119F08FB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4853" t="-20831" r="66337" b="-14570"/>
        <a:stretch/>
      </xdr:blipFill>
      <xdr:spPr>
        <a:xfrm>
          <a:off x="1876828" y="15719"/>
          <a:ext cx="735736" cy="734373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23812</xdr:colOff>
      <xdr:row>7</xdr:row>
      <xdr:rowOff>138954</xdr:rowOff>
    </xdr:from>
    <xdr:to>
      <xdr:col>0</xdr:col>
      <xdr:colOff>1797843</xdr:colOff>
      <xdr:row>20</xdr:row>
      <xdr:rowOff>85026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D9C8368-3BA2-4C78-9295-F49C0C571B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" y="1472454"/>
              <a:ext cx="1774031" cy="24906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272721</xdr:colOff>
      <xdr:row>4</xdr:row>
      <xdr:rowOff>77982</xdr:rowOff>
    </xdr:from>
    <xdr:to>
      <xdr:col>9</xdr:col>
      <xdr:colOff>292896</xdr:colOff>
      <xdr:row>12</xdr:row>
      <xdr:rowOff>91506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CCA7B5DF-08AB-495C-83B1-73C1E146E694}"/>
            </a:ext>
          </a:extLst>
        </xdr:cNvPr>
        <xdr:cNvGrpSpPr/>
      </xdr:nvGrpSpPr>
      <xdr:grpSpPr>
        <a:xfrm>
          <a:off x="2096078" y="989661"/>
          <a:ext cx="5054818" cy="1564738"/>
          <a:chOff x="2106285" y="849328"/>
          <a:chExt cx="5078921" cy="158234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A93AF22-9F9B-4DD2-B57E-3C19FEEC43DD}"/>
              </a:ext>
            </a:extLst>
          </xdr:cNvPr>
          <xdr:cNvSpPr/>
        </xdr:nvSpPr>
        <xdr:spPr>
          <a:xfrm>
            <a:off x="2106705" y="1019735"/>
            <a:ext cx="5076265" cy="1243853"/>
          </a:xfrm>
          <a:prstGeom prst="roundRect">
            <a:avLst>
              <a:gd name="adj" fmla="val 5856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>
              <a:latin typeface="+mn-lt"/>
            </a:endParaRPr>
          </a:p>
        </xdr:txBody>
      </xdr:sp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7BECE9F3-16FD-49B4-8DD2-4546D3624D75}"/>
              </a:ext>
            </a:extLst>
          </xdr:cNvPr>
          <xdr:cNvGrpSpPr/>
        </xdr:nvGrpSpPr>
        <xdr:grpSpPr>
          <a:xfrm>
            <a:off x="2106285" y="849328"/>
            <a:ext cx="5078921" cy="1582348"/>
            <a:chOff x="2106285" y="849328"/>
            <a:chExt cx="5078921" cy="1582348"/>
          </a:xfrm>
        </xdr:grpSpPr>
        <xdr:sp macro="" textlink="C̳álculos!E27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338C5F1C-D577-487A-846C-34B326335F16}"/>
                </a:ext>
              </a:extLst>
            </xdr:cNvPr>
            <xdr:cNvSpPr/>
          </xdr:nvSpPr>
          <xdr:spPr>
            <a:xfrm>
              <a:off x="3989294" y="1423147"/>
              <a:ext cx="2610969" cy="649942"/>
            </a:xfrm>
            <a:prstGeom prst="roundRect">
              <a:avLst>
                <a:gd name="adj" fmla="val 7472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55BCBA7-4F6E-4CFE-B331-14643C719D50}" type="TxLink">
                <a:rPr lang="en-US" sz="3200" b="0" i="0" u="none" strike="noStrike">
                  <a:solidFill>
                    <a:srgbClr val="00B050"/>
                  </a:solidFill>
                  <a:latin typeface="+mn-lt"/>
                  <a:cs typeface="Segoe UI" panose="020B0502040204020203" pitchFamily="34" charset="0"/>
                </a:rPr>
                <a:pPr algn="ctr"/>
                <a:t> R$ 600,00 </a:t>
              </a:fld>
              <a:endParaRPr lang="en-US" sz="3200" b="0">
                <a:solidFill>
                  <a:srgbClr val="00B050"/>
                </a:solidFill>
                <a:latin typeface="+mn-lt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3A0AA367-FC9A-43DA-B930-F6C2D5578CD9}"/>
                </a:ext>
              </a:extLst>
            </xdr:cNvPr>
            <xdr:cNvSpPr/>
          </xdr:nvSpPr>
          <xdr:spPr>
            <a:xfrm>
              <a:off x="2106285" y="849328"/>
              <a:ext cx="5078921" cy="36090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+mn-lt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latin typeface="+mn-lt"/>
                  <a:cs typeface="Segoe UI" panose="020B0502040204020203" pitchFamily="34" charset="0"/>
                </a:rPr>
                <a:t> </a:t>
              </a:r>
              <a:r>
                <a:rPr lang="pt-BR" sz="1200" b="1" baseline="0">
                  <a:latin typeface="+mn-lt"/>
                  <a:cs typeface="Segoe UI" panose="020B0502040204020203" pitchFamily="34" charset="0"/>
                </a:rPr>
                <a:t>SUBSCRIPTIONS</a:t>
              </a:r>
              <a:r>
                <a:rPr lang="pt-BR" sz="1100" b="1" baseline="0">
                  <a:latin typeface="+mn-lt"/>
                  <a:cs typeface="Segoe UI" panose="020B0502040204020203" pitchFamily="34" charset="0"/>
                </a:rPr>
                <a:t> EA PLAY SEASON PASS</a:t>
              </a:r>
              <a:endParaRPr lang="pt-BR" sz="1100" b="1">
                <a:latin typeface="+mn-lt"/>
                <a:cs typeface="Segoe UI" panose="020B0502040204020203" pitchFamily="34" charset="0"/>
              </a:endParaRPr>
            </a:p>
          </xdr:txBody>
        </xdr:sp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A5A6F336-9C53-43EC-BB24-A7612704F6E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574736" y="1064560"/>
              <a:ext cx="1336117" cy="1367116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10</xdr:col>
      <xdr:colOff>168088</xdr:colOff>
      <xdr:row>4</xdr:row>
      <xdr:rowOff>78332</xdr:rowOff>
    </xdr:from>
    <xdr:to>
      <xdr:col>17</xdr:col>
      <xdr:colOff>641400</xdr:colOff>
      <xdr:row>11</xdr:row>
      <xdr:rowOff>103063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83693074-9993-4DB7-8425-275FB9C51B1F}"/>
            </a:ext>
          </a:extLst>
        </xdr:cNvPr>
        <xdr:cNvGrpSpPr/>
      </xdr:nvGrpSpPr>
      <xdr:grpSpPr>
        <a:xfrm>
          <a:off x="7706445" y="990011"/>
          <a:ext cx="5058919" cy="1399052"/>
          <a:chOff x="7732058" y="1019736"/>
          <a:chExt cx="5078930" cy="1414260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807D6176-AFB3-4E3D-873D-86DF01BD1E14}"/>
              </a:ext>
            </a:extLst>
          </xdr:cNvPr>
          <xdr:cNvGrpSpPr/>
        </xdr:nvGrpSpPr>
        <xdr:grpSpPr>
          <a:xfrm>
            <a:off x="7732058" y="1019736"/>
            <a:ext cx="5078930" cy="1414260"/>
            <a:chOff x="2106285" y="849328"/>
            <a:chExt cx="5078921" cy="1414260"/>
          </a:xfrm>
        </xdr:grpSpPr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CE3349DB-2B74-4FB3-BCB6-23B21613B60C}"/>
                </a:ext>
              </a:extLst>
            </xdr:cNvPr>
            <xdr:cNvSpPr/>
          </xdr:nvSpPr>
          <xdr:spPr>
            <a:xfrm>
              <a:off x="2106705" y="1019735"/>
              <a:ext cx="5076265" cy="1243853"/>
            </a:xfrm>
            <a:prstGeom prst="roundRect">
              <a:avLst>
                <a:gd name="adj" fmla="val 5856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pt-BR" sz="1100">
                <a:latin typeface="+mn-lt"/>
              </a:endParaRPr>
            </a:p>
          </xdr:txBody>
        </xdr: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1CC97792-336A-436A-9B81-61A13DFF89E6}"/>
                </a:ext>
              </a:extLst>
            </xdr:cNvPr>
            <xdr:cNvGrpSpPr/>
          </xdr:nvGrpSpPr>
          <xdr:grpSpPr>
            <a:xfrm>
              <a:off x="2106285" y="849328"/>
              <a:ext cx="5078921" cy="1246173"/>
              <a:chOff x="2106285" y="849328"/>
              <a:chExt cx="5078921" cy="1246173"/>
            </a:xfrm>
          </xdr:grpSpPr>
          <xdr:sp macro="" textlink="C̳álculos!E39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B0886942-AF9E-4D0F-AA63-83317C3B7BCF}"/>
                  </a:ext>
                </a:extLst>
              </xdr:cNvPr>
              <xdr:cNvSpPr/>
            </xdr:nvSpPr>
            <xdr:spPr>
              <a:xfrm>
                <a:off x="4101352" y="1445559"/>
                <a:ext cx="2610969" cy="649942"/>
              </a:xfrm>
              <a:prstGeom prst="roundRect">
                <a:avLst>
                  <a:gd name="adj" fmla="val 7472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C78D66E9-A97E-4C4E-9190-18A1A1F8621E}" type="TxLink">
                  <a:rPr lang="en-US" sz="3200" b="0" i="0" u="none" strike="noStrike">
                    <a:solidFill>
                      <a:srgbClr val="00B050"/>
                    </a:solidFill>
                    <a:latin typeface="+mn-lt"/>
                    <a:cs typeface="Segoe UI" panose="020B0502040204020203" pitchFamily="34" charset="0"/>
                  </a:rPr>
                  <a:pPr algn="ctr"/>
                  <a:t> R$ 940,00 </a:t>
                </a:fld>
                <a:endParaRPr lang="en-US" sz="3200" b="0">
                  <a:solidFill>
                    <a:srgbClr val="00B050"/>
                  </a:solidFill>
                  <a:latin typeface="+mn-lt"/>
                  <a:cs typeface="Segoe UI" panose="020B0502040204020203" pitchFamily="34" charset="0"/>
                </a:endParaRPr>
              </a:p>
            </xdr:txBody>
          </xdr:sp>
          <xdr:sp macro="" textlink="">
            <xdr:nvSpPr>
              <xdr:cNvPr id="22" name="Retângulo: Cantos Superiores Arredondados 21">
                <a:extLst>
                  <a:ext uri="{FF2B5EF4-FFF2-40B4-BE49-F238E27FC236}">
                    <a16:creationId xmlns:a16="http://schemas.microsoft.com/office/drawing/2014/main" id="{400785FD-4305-47AC-8E5D-11C59638845B}"/>
                  </a:ext>
                </a:extLst>
              </xdr:cNvPr>
              <xdr:cNvSpPr/>
            </xdr:nvSpPr>
            <xdr:spPr>
              <a:xfrm>
                <a:off x="2106285" y="849328"/>
                <a:ext cx="5078921" cy="36090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>
                    <a:latin typeface="+mn-lt"/>
                    <a:cs typeface="Segoe UI" panose="020B0502040204020203" pitchFamily="34" charset="0"/>
                  </a:rPr>
                  <a:t>TOTAL</a:t>
                </a:r>
                <a:r>
                  <a:rPr lang="pt-BR" sz="1100" b="1" baseline="0">
                    <a:latin typeface="+mn-lt"/>
                    <a:cs typeface="Segoe UI" panose="020B0502040204020203" pitchFamily="34" charset="0"/>
                  </a:rPr>
                  <a:t> </a:t>
                </a:r>
                <a:r>
                  <a:rPr lang="pt-BR" sz="1200" b="1" baseline="0">
                    <a:latin typeface="+mn-lt"/>
                    <a:cs typeface="Segoe UI" panose="020B0502040204020203" pitchFamily="34" charset="0"/>
                  </a:rPr>
                  <a:t>SUBSCRIPTIONS</a:t>
                </a:r>
                <a:r>
                  <a:rPr lang="pt-BR" sz="1100" b="1" baseline="0">
                    <a:latin typeface="+mn-lt"/>
                    <a:cs typeface="Segoe UI" panose="020B0502040204020203" pitchFamily="34" charset="0"/>
                  </a:rPr>
                  <a:t> MINECRAFT SEASON PASS</a:t>
                </a:r>
              </a:p>
              <a:p>
                <a:pPr algn="ctr"/>
                <a:endParaRPr lang="pt-BR" sz="1100" b="1">
                  <a:latin typeface="+mn-lt"/>
                  <a:cs typeface="Segoe UI" panose="020B0502040204020203" pitchFamily="34" charset="0"/>
                </a:endParaRPr>
              </a:p>
            </xdr:txBody>
          </xdr:sp>
        </xdr:grp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A883AB9F-37AE-4B33-B1D8-5C4C7EA8D494}"/>
              </a:ext>
            </a:extLst>
          </xdr:cNvPr>
          <xdr:cNvGrpSpPr/>
        </xdr:nvGrpSpPr>
        <xdr:grpSpPr>
          <a:xfrm>
            <a:off x="8303558" y="1580029"/>
            <a:ext cx="1131794" cy="560292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E98DA431-5FB5-40AB-9A33-A0D0D822D7D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FF36F26D-D83A-4744-B1F3-2501E3064EE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33617</xdr:colOff>
      <xdr:row>13</xdr:row>
      <xdr:rowOff>139133</xdr:rowOff>
    </xdr:from>
    <xdr:to>
      <xdr:col>18</xdr:col>
      <xdr:colOff>3810</xdr:colOff>
      <xdr:row>30</xdr:row>
      <xdr:rowOff>170187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322B291A-9E6A-479F-9DF6-3601AC9688CF}"/>
            </a:ext>
          </a:extLst>
        </xdr:cNvPr>
        <xdr:cNvGrpSpPr/>
      </xdr:nvGrpSpPr>
      <xdr:grpSpPr>
        <a:xfrm>
          <a:off x="2129117" y="2778919"/>
          <a:ext cx="10679014" cy="3038232"/>
          <a:chOff x="2141023" y="2794227"/>
          <a:chExt cx="10828693" cy="3067148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6EA726F0-3B15-4969-A86C-B4469A3EC7F1}"/>
              </a:ext>
            </a:extLst>
          </xdr:cNvPr>
          <xdr:cNvGrpSpPr/>
        </xdr:nvGrpSpPr>
        <xdr:grpSpPr>
          <a:xfrm>
            <a:off x="2141023" y="2802870"/>
            <a:ext cx="10824883" cy="3058505"/>
            <a:chOff x="1994648" y="896470"/>
            <a:chExt cx="5121088" cy="3070412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25091DB0-B397-4862-90D4-40556DE85DFF}"/>
                </a:ext>
              </a:extLst>
            </xdr:cNvPr>
            <xdr:cNvSpPr/>
          </xdr:nvSpPr>
          <xdr:spPr>
            <a:xfrm>
              <a:off x="1994648" y="896470"/>
              <a:ext cx="5121088" cy="3070412"/>
            </a:xfrm>
            <a:prstGeom prst="roundRect">
              <a:avLst>
                <a:gd name="adj" fmla="val 3163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E2516E0-4000-4A7A-B31C-EAF74E5D0D3A}"/>
                </a:ext>
              </a:extLst>
            </xdr:cNvPr>
            <xdr:cNvGraphicFramePr>
              <a:graphicFrameLocks/>
            </xdr:cNvGraphicFramePr>
          </xdr:nvGraphicFramePr>
          <xdr:xfrm>
            <a:off x="2064214" y="1445560"/>
            <a:ext cx="4772215" cy="23621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19731C40-AA22-4B45-AE37-06224BBD9380}"/>
              </a:ext>
            </a:extLst>
          </xdr:cNvPr>
          <xdr:cNvSpPr/>
        </xdr:nvSpPr>
        <xdr:spPr>
          <a:xfrm>
            <a:off x="2141696" y="2794227"/>
            <a:ext cx="10828020" cy="35462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</a:rPr>
              <a:t>TOTAL</a:t>
            </a:r>
            <a:r>
              <a:rPr lang="pt-BR" sz="1200" b="1" baseline="0">
                <a:solidFill>
                  <a:schemeClr val="bg1"/>
                </a:solidFill>
              </a:rPr>
              <a:t> SUBSCRIPTIONS XBOX GAME PASS</a:t>
            </a:r>
            <a:endParaRPr lang="pt-BR" sz="12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511969</xdr:colOff>
      <xdr:row>0</xdr:row>
      <xdr:rowOff>71438</xdr:rowOff>
    </xdr:from>
    <xdr:to>
      <xdr:col>0</xdr:col>
      <xdr:colOff>1297781</xdr:colOff>
      <xdr:row>3</xdr:row>
      <xdr:rowOff>59531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709B7D79-16DC-4749-A853-DAD1878A239B}"/>
            </a:ext>
          </a:extLst>
        </xdr:cNvPr>
        <xdr:cNvSpPr/>
      </xdr:nvSpPr>
      <xdr:spPr>
        <a:xfrm>
          <a:off x="511969" y="71438"/>
          <a:ext cx="785812" cy="73818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ys" refreshedDate="45972.394321412037" createdVersion="7" refreshedVersion="7" minRefreshableVersion="3" recordCount="295" xr:uid="{CE88ADE3-56C0-4C56-AF96-48C033BB8CD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974143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d v="2024-01-01T00:00:00"/>
    <x v="0"/>
    <x v="0"/>
    <x v="0"/>
    <s v="Yes"/>
    <n v="30"/>
    <x v="0"/>
    <n v="20"/>
    <n v="5"/>
    <x v="0"/>
  </r>
  <r>
    <x v="1"/>
    <x v="1"/>
    <x v="1"/>
    <d v="2024-01-15T00:00:00"/>
    <x v="1"/>
    <x v="1"/>
    <x v="1"/>
    <s v="No"/>
    <s v="-"/>
    <x v="1"/>
    <n v="0"/>
    <n v="0"/>
    <x v="1"/>
  </r>
  <r>
    <x v="2"/>
    <x v="2"/>
    <x v="2"/>
    <d v="2024-02-10T00:00:00"/>
    <x v="0"/>
    <x v="2"/>
    <x v="2"/>
    <s v="No"/>
    <s v="-"/>
    <x v="0"/>
    <n v="20"/>
    <n v="10"/>
    <x v="2"/>
  </r>
  <r>
    <x v="3"/>
    <x v="3"/>
    <x v="0"/>
    <d v="2024-02-20T00:00:00"/>
    <x v="1"/>
    <x v="0"/>
    <x v="0"/>
    <s v="Yes"/>
    <n v="30"/>
    <x v="0"/>
    <n v="20"/>
    <n v="3"/>
    <x v="3"/>
  </r>
  <r>
    <x v="4"/>
    <x v="4"/>
    <x v="1"/>
    <d v="2024-03-05T00:00:00"/>
    <x v="0"/>
    <x v="1"/>
    <x v="0"/>
    <s v="No"/>
    <s v="-"/>
    <x v="1"/>
    <n v="0"/>
    <n v="1"/>
    <x v="4"/>
  </r>
  <r>
    <x v="5"/>
    <x v="5"/>
    <x v="2"/>
    <d v="2024-03-02T00:00:00"/>
    <x v="1"/>
    <x v="2"/>
    <x v="0"/>
    <s v="No"/>
    <s v="-"/>
    <x v="0"/>
    <n v="20"/>
    <n v="2"/>
    <x v="5"/>
  </r>
  <r>
    <x v="6"/>
    <x v="6"/>
    <x v="0"/>
    <d v="2024-03-03T00:00:00"/>
    <x v="0"/>
    <x v="0"/>
    <x v="2"/>
    <s v="Yes"/>
    <n v="30"/>
    <x v="0"/>
    <n v="20"/>
    <n v="10"/>
    <x v="6"/>
  </r>
  <r>
    <x v="7"/>
    <x v="7"/>
    <x v="1"/>
    <d v="2024-03-04T00:00:00"/>
    <x v="0"/>
    <x v="1"/>
    <x v="1"/>
    <s v="No"/>
    <s v="-"/>
    <x v="1"/>
    <n v="0"/>
    <n v="0"/>
    <x v="1"/>
  </r>
  <r>
    <x v="8"/>
    <x v="8"/>
    <x v="0"/>
    <d v="2024-03-05T00:00:00"/>
    <x v="1"/>
    <x v="0"/>
    <x v="0"/>
    <s v="Yes"/>
    <n v="30"/>
    <x v="0"/>
    <n v="20"/>
    <n v="5"/>
    <x v="0"/>
  </r>
  <r>
    <x v="9"/>
    <x v="9"/>
    <x v="2"/>
    <d v="2024-03-06T00:00:00"/>
    <x v="0"/>
    <x v="2"/>
    <x v="2"/>
    <s v="No"/>
    <s v="-"/>
    <x v="0"/>
    <n v="20"/>
    <n v="15"/>
    <x v="7"/>
  </r>
  <r>
    <x v="10"/>
    <x v="10"/>
    <x v="1"/>
    <d v="2024-03-07T00:00:00"/>
    <x v="1"/>
    <x v="1"/>
    <x v="0"/>
    <s v="No"/>
    <s v="-"/>
    <x v="1"/>
    <n v="0"/>
    <n v="1"/>
    <x v="4"/>
  </r>
  <r>
    <x v="11"/>
    <x v="11"/>
    <x v="0"/>
    <d v="2024-03-08T00:00:00"/>
    <x v="0"/>
    <x v="0"/>
    <x v="1"/>
    <s v="Yes"/>
    <n v="30"/>
    <x v="0"/>
    <n v="20"/>
    <n v="20"/>
    <x v="8"/>
  </r>
  <r>
    <x v="12"/>
    <x v="12"/>
    <x v="2"/>
    <d v="2024-03-09T00:00:00"/>
    <x v="1"/>
    <x v="2"/>
    <x v="0"/>
    <s v="No"/>
    <s v="-"/>
    <x v="0"/>
    <n v="20"/>
    <n v="10"/>
    <x v="2"/>
  </r>
  <r>
    <x v="13"/>
    <x v="13"/>
    <x v="1"/>
    <d v="2024-03-10T00:00:00"/>
    <x v="0"/>
    <x v="1"/>
    <x v="2"/>
    <s v="No"/>
    <s v="-"/>
    <x v="1"/>
    <n v="0"/>
    <n v="0"/>
    <x v="1"/>
  </r>
  <r>
    <x v="14"/>
    <x v="14"/>
    <x v="0"/>
    <d v="2024-03-11T00:00:00"/>
    <x v="1"/>
    <x v="0"/>
    <x v="0"/>
    <s v="Yes"/>
    <n v="30"/>
    <x v="0"/>
    <n v="20"/>
    <n v="8"/>
    <x v="9"/>
  </r>
  <r>
    <x v="15"/>
    <x v="15"/>
    <x v="2"/>
    <d v="2024-03-12T00:00:00"/>
    <x v="0"/>
    <x v="2"/>
    <x v="1"/>
    <s v="No"/>
    <s v="-"/>
    <x v="0"/>
    <n v="20"/>
    <n v="12"/>
    <x v="10"/>
  </r>
  <r>
    <x v="16"/>
    <x v="16"/>
    <x v="1"/>
    <d v="2024-03-13T00:00:00"/>
    <x v="1"/>
    <x v="1"/>
    <x v="0"/>
    <s v="No"/>
    <s v="-"/>
    <x v="1"/>
    <n v="0"/>
    <n v="2"/>
    <x v="11"/>
  </r>
  <r>
    <x v="17"/>
    <x v="17"/>
    <x v="0"/>
    <d v="2024-03-14T00:00:00"/>
    <x v="0"/>
    <x v="0"/>
    <x v="2"/>
    <s v="Yes"/>
    <n v="30"/>
    <x v="0"/>
    <n v="20"/>
    <n v="7"/>
    <x v="12"/>
  </r>
  <r>
    <x v="18"/>
    <x v="18"/>
    <x v="2"/>
    <d v="2024-03-15T00:00:00"/>
    <x v="1"/>
    <x v="2"/>
    <x v="0"/>
    <s v="No"/>
    <s v="-"/>
    <x v="0"/>
    <n v="20"/>
    <n v="5"/>
    <x v="13"/>
  </r>
  <r>
    <x v="19"/>
    <x v="19"/>
    <x v="1"/>
    <d v="2024-03-16T00:00:00"/>
    <x v="0"/>
    <x v="1"/>
    <x v="1"/>
    <s v="No"/>
    <s v="-"/>
    <x v="1"/>
    <n v="0"/>
    <n v="0"/>
    <x v="1"/>
  </r>
  <r>
    <x v="20"/>
    <x v="20"/>
    <x v="0"/>
    <d v="2024-03-17T00:00:00"/>
    <x v="1"/>
    <x v="0"/>
    <x v="0"/>
    <s v="Yes"/>
    <n v="30"/>
    <x v="0"/>
    <n v="20"/>
    <n v="3"/>
    <x v="3"/>
  </r>
  <r>
    <x v="21"/>
    <x v="21"/>
    <x v="2"/>
    <d v="2024-03-18T00:00:00"/>
    <x v="0"/>
    <x v="2"/>
    <x v="2"/>
    <s v="No"/>
    <s v="-"/>
    <x v="0"/>
    <n v="20"/>
    <n v="15"/>
    <x v="7"/>
  </r>
  <r>
    <x v="22"/>
    <x v="22"/>
    <x v="1"/>
    <d v="2024-03-19T00:00:00"/>
    <x v="1"/>
    <x v="1"/>
    <x v="0"/>
    <s v="No"/>
    <s v="-"/>
    <x v="1"/>
    <n v="0"/>
    <n v="1"/>
    <x v="4"/>
  </r>
  <r>
    <x v="23"/>
    <x v="23"/>
    <x v="0"/>
    <d v="2024-03-20T00:00:00"/>
    <x v="0"/>
    <x v="0"/>
    <x v="1"/>
    <s v="Yes"/>
    <n v="30"/>
    <x v="0"/>
    <n v="20"/>
    <n v="20"/>
    <x v="8"/>
  </r>
  <r>
    <x v="24"/>
    <x v="24"/>
    <x v="2"/>
    <d v="2024-03-21T00:00:00"/>
    <x v="1"/>
    <x v="2"/>
    <x v="0"/>
    <s v="No"/>
    <s v="-"/>
    <x v="0"/>
    <n v="20"/>
    <n v="10"/>
    <x v="2"/>
  </r>
  <r>
    <x v="25"/>
    <x v="25"/>
    <x v="1"/>
    <d v="2024-03-22T00:00:00"/>
    <x v="0"/>
    <x v="1"/>
    <x v="2"/>
    <s v="No"/>
    <s v="-"/>
    <x v="1"/>
    <n v="0"/>
    <n v="0"/>
    <x v="1"/>
  </r>
  <r>
    <x v="26"/>
    <x v="26"/>
    <x v="0"/>
    <d v="2024-03-23T00:00:00"/>
    <x v="1"/>
    <x v="0"/>
    <x v="0"/>
    <s v="Yes"/>
    <n v="30"/>
    <x v="0"/>
    <n v="20"/>
    <n v="5"/>
    <x v="0"/>
  </r>
  <r>
    <x v="27"/>
    <x v="27"/>
    <x v="2"/>
    <d v="2024-03-24T00:00:00"/>
    <x v="0"/>
    <x v="2"/>
    <x v="1"/>
    <s v="No"/>
    <s v="-"/>
    <x v="0"/>
    <n v="20"/>
    <n v="15"/>
    <x v="7"/>
  </r>
  <r>
    <x v="28"/>
    <x v="28"/>
    <x v="1"/>
    <d v="2024-03-25T00:00:00"/>
    <x v="1"/>
    <x v="1"/>
    <x v="0"/>
    <s v="No"/>
    <s v="-"/>
    <x v="1"/>
    <n v="0"/>
    <n v="1"/>
    <x v="4"/>
  </r>
  <r>
    <x v="29"/>
    <x v="29"/>
    <x v="0"/>
    <d v="2024-03-26T00:00:00"/>
    <x v="0"/>
    <x v="0"/>
    <x v="2"/>
    <s v="Yes"/>
    <n v="30"/>
    <x v="0"/>
    <n v="20"/>
    <n v="7"/>
    <x v="12"/>
  </r>
  <r>
    <x v="30"/>
    <x v="30"/>
    <x v="2"/>
    <d v="2024-03-27T00:00:00"/>
    <x v="1"/>
    <x v="2"/>
    <x v="0"/>
    <s v="No"/>
    <s v="-"/>
    <x v="0"/>
    <n v="20"/>
    <n v="10"/>
    <x v="2"/>
  </r>
  <r>
    <x v="31"/>
    <x v="31"/>
    <x v="1"/>
    <d v="2024-03-28T00:00:00"/>
    <x v="0"/>
    <x v="1"/>
    <x v="1"/>
    <s v="No"/>
    <s v="-"/>
    <x v="1"/>
    <n v="0"/>
    <n v="0"/>
    <x v="1"/>
  </r>
  <r>
    <x v="32"/>
    <x v="32"/>
    <x v="0"/>
    <d v="2024-03-29T00:00:00"/>
    <x v="1"/>
    <x v="0"/>
    <x v="0"/>
    <s v="Yes"/>
    <n v="30"/>
    <x v="0"/>
    <n v="20"/>
    <n v="3"/>
    <x v="3"/>
  </r>
  <r>
    <x v="33"/>
    <x v="33"/>
    <x v="2"/>
    <d v="2024-03-30T00:00:00"/>
    <x v="0"/>
    <x v="2"/>
    <x v="2"/>
    <s v="No"/>
    <s v="-"/>
    <x v="0"/>
    <n v="20"/>
    <n v="15"/>
    <x v="7"/>
  </r>
  <r>
    <x v="34"/>
    <x v="34"/>
    <x v="1"/>
    <d v="2024-03-31T00:00:00"/>
    <x v="1"/>
    <x v="1"/>
    <x v="0"/>
    <s v="No"/>
    <s v="-"/>
    <x v="1"/>
    <n v="0"/>
    <n v="1"/>
    <x v="4"/>
  </r>
  <r>
    <x v="35"/>
    <x v="35"/>
    <x v="1"/>
    <d v="2024-04-01T00:00:00"/>
    <x v="0"/>
    <x v="1"/>
    <x v="0"/>
    <s v="No"/>
    <s v="-"/>
    <x v="1"/>
    <n v="0"/>
    <n v="0"/>
    <x v="1"/>
  </r>
  <r>
    <x v="36"/>
    <x v="36"/>
    <x v="0"/>
    <d v="2024-04-02T00:00:00"/>
    <x v="1"/>
    <x v="0"/>
    <x v="2"/>
    <s v="Yes"/>
    <n v="30"/>
    <x v="0"/>
    <n v="20"/>
    <n v="7"/>
    <x v="12"/>
  </r>
  <r>
    <x v="37"/>
    <x v="37"/>
    <x v="2"/>
    <d v="2024-04-03T00:00:00"/>
    <x v="0"/>
    <x v="2"/>
    <x v="1"/>
    <s v="No"/>
    <s v="-"/>
    <x v="0"/>
    <n v="20"/>
    <n v="10"/>
    <x v="2"/>
  </r>
  <r>
    <x v="38"/>
    <x v="38"/>
    <x v="1"/>
    <d v="2024-04-04T00:00:00"/>
    <x v="1"/>
    <x v="1"/>
    <x v="2"/>
    <s v="No"/>
    <s v="-"/>
    <x v="1"/>
    <n v="0"/>
    <n v="1"/>
    <x v="4"/>
  </r>
  <r>
    <x v="39"/>
    <x v="39"/>
    <x v="0"/>
    <d v="2024-04-05T00:00:00"/>
    <x v="0"/>
    <x v="0"/>
    <x v="0"/>
    <s v="Yes"/>
    <n v="30"/>
    <x v="0"/>
    <n v="20"/>
    <n v="15"/>
    <x v="14"/>
  </r>
  <r>
    <x v="40"/>
    <x v="40"/>
    <x v="2"/>
    <d v="2024-04-06T00:00:00"/>
    <x v="1"/>
    <x v="2"/>
    <x v="0"/>
    <s v="No"/>
    <s v="-"/>
    <x v="0"/>
    <n v="20"/>
    <n v="5"/>
    <x v="13"/>
  </r>
  <r>
    <x v="41"/>
    <x v="41"/>
    <x v="1"/>
    <d v="2024-04-07T00:00:00"/>
    <x v="0"/>
    <x v="1"/>
    <x v="1"/>
    <s v="No"/>
    <s v="-"/>
    <x v="1"/>
    <n v="0"/>
    <n v="0"/>
    <x v="1"/>
  </r>
  <r>
    <x v="42"/>
    <x v="42"/>
    <x v="0"/>
    <d v="2024-04-08T00:00:00"/>
    <x v="1"/>
    <x v="0"/>
    <x v="2"/>
    <s v="Yes"/>
    <n v="30"/>
    <x v="0"/>
    <n v="20"/>
    <n v="20"/>
    <x v="8"/>
  </r>
  <r>
    <x v="43"/>
    <x v="43"/>
    <x v="2"/>
    <d v="2024-04-09T00:00:00"/>
    <x v="0"/>
    <x v="2"/>
    <x v="2"/>
    <s v="No"/>
    <s v="-"/>
    <x v="0"/>
    <n v="20"/>
    <n v="12"/>
    <x v="10"/>
  </r>
  <r>
    <x v="44"/>
    <x v="44"/>
    <x v="1"/>
    <d v="2024-04-10T00:00:00"/>
    <x v="1"/>
    <x v="1"/>
    <x v="0"/>
    <s v="No"/>
    <s v="-"/>
    <x v="1"/>
    <n v="0"/>
    <n v="2"/>
    <x v="11"/>
  </r>
  <r>
    <x v="45"/>
    <x v="45"/>
    <x v="0"/>
    <d v="2024-04-11T00:00:00"/>
    <x v="0"/>
    <x v="0"/>
    <x v="1"/>
    <s v="Yes"/>
    <n v="30"/>
    <x v="0"/>
    <n v="20"/>
    <n v="5"/>
    <x v="0"/>
  </r>
  <r>
    <x v="46"/>
    <x v="46"/>
    <x v="2"/>
    <d v="2024-04-12T00:00:00"/>
    <x v="1"/>
    <x v="2"/>
    <x v="0"/>
    <s v="No"/>
    <s v="-"/>
    <x v="0"/>
    <n v="20"/>
    <n v="10"/>
    <x v="2"/>
  </r>
  <r>
    <x v="47"/>
    <x v="47"/>
    <x v="1"/>
    <d v="2024-04-13T00:00:00"/>
    <x v="0"/>
    <x v="1"/>
    <x v="2"/>
    <s v="No"/>
    <s v="-"/>
    <x v="1"/>
    <n v="0"/>
    <n v="0"/>
    <x v="1"/>
  </r>
  <r>
    <x v="48"/>
    <x v="48"/>
    <x v="0"/>
    <d v="2024-04-14T00:00:00"/>
    <x v="1"/>
    <x v="0"/>
    <x v="0"/>
    <s v="Yes"/>
    <n v="30"/>
    <x v="0"/>
    <n v="20"/>
    <n v="3"/>
    <x v="3"/>
  </r>
  <r>
    <x v="49"/>
    <x v="49"/>
    <x v="2"/>
    <d v="2024-04-15T00:00:00"/>
    <x v="0"/>
    <x v="2"/>
    <x v="1"/>
    <s v="No"/>
    <s v="-"/>
    <x v="0"/>
    <n v="20"/>
    <n v="15"/>
    <x v="7"/>
  </r>
  <r>
    <x v="50"/>
    <x v="50"/>
    <x v="1"/>
    <d v="2024-04-16T00:00:00"/>
    <x v="1"/>
    <x v="1"/>
    <x v="0"/>
    <s v="No"/>
    <s v="-"/>
    <x v="1"/>
    <n v="0"/>
    <n v="1"/>
    <x v="4"/>
  </r>
  <r>
    <x v="51"/>
    <x v="51"/>
    <x v="0"/>
    <d v="2024-04-17T00:00:00"/>
    <x v="0"/>
    <x v="0"/>
    <x v="2"/>
    <s v="Yes"/>
    <n v="30"/>
    <x v="0"/>
    <n v="20"/>
    <n v="7"/>
    <x v="12"/>
  </r>
  <r>
    <x v="52"/>
    <x v="52"/>
    <x v="2"/>
    <d v="2024-04-18T00:00:00"/>
    <x v="1"/>
    <x v="2"/>
    <x v="0"/>
    <s v="No"/>
    <s v="-"/>
    <x v="0"/>
    <n v="20"/>
    <n v="10"/>
    <x v="2"/>
  </r>
  <r>
    <x v="53"/>
    <x v="53"/>
    <x v="1"/>
    <d v="2024-04-19T00:00:00"/>
    <x v="0"/>
    <x v="1"/>
    <x v="1"/>
    <s v="No"/>
    <s v="-"/>
    <x v="1"/>
    <n v="0"/>
    <n v="0"/>
    <x v="1"/>
  </r>
  <r>
    <x v="54"/>
    <x v="54"/>
    <x v="0"/>
    <d v="2024-04-20T00:00:00"/>
    <x v="1"/>
    <x v="0"/>
    <x v="0"/>
    <s v="Yes"/>
    <n v="30"/>
    <x v="0"/>
    <n v="20"/>
    <n v="20"/>
    <x v="8"/>
  </r>
  <r>
    <x v="55"/>
    <x v="55"/>
    <x v="2"/>
    <d v="2024-04-21T00:00:00"/>
    <x v="0"/>
    <x v="2"/>
    <x v="2"/>
    <s v="No"/>
    <s v="-"/>
    <x v="0"/>
    <n v="20"/>
    <n v="15"/>
    <x v="7"/>
  </r>
  <r>
    <x v="56"/>
    <x v="56"/>
    <x v="1"/>
    <d v="2024-04-22T00:00:00"/>
    <x v="1"/>
    <x v="1"/>
    <x v="0"/>
    <s v="No"/>
    <s v="-"/>
    <x v="1"/>
    <n v="0"/>
    <n v="1"/>
    <x v="4"/>
  </r>
  <r>
    <x v="57"/>
    <x v="57"/>
    <x v="0"/>
    <d v="2024-04-23T00:00:00"/>
    <x v="0"/>
    <x v="0"/>
    <x v="1"/>
    <s v="Yes"/>
    <n v="30"/>
    <x v="0"/>
    <n v="20"/>
    <n v="3"/>
    <x v="3"/>
  </r>
  <r>
    <x v="58"/>
    <x v="58"/>
    <x v="2"/>
    <d v="2024-04-24T00:00:00"/>
    <x v="1"/>
    <x v="2"/>
    <x v="0"/>
    <s v="No"/>
    <s v="-"/>
    <x v="0"/>
    <n v="20"/>
    <n v="10"/>
    <x v="2"/>
  </r>
  <r>
    <x v="59"/>
    <x v="59"/>
    <x v="1"/>
    <d v="2024-04-25T00:00:00"/>
    <x v="0"/>
    <x v="1"/>
    <x v="2"/>
    <s v="No"/>
    <s v="-"/>
    <x v="1"/>
    <n v="0"/>
    <n v="0"/>
    <x v="1"/>
  </r>
  <r>
    <x v="60"/>
    <x v="60"/>
    <x v="0"/>
    <d v="2024-04-26T00:00:00"/>
    <x v="1"/>
    <x v="0"/>
    <x v="0"/>
    <s v="Yes"/>
    <n v="30"/>
    <x v="0"/>
    <n v="20"/>
    <n v="5"/>
    <x v="0"/>
  </r>
  <r>
    <x v="61"/>
    <x v="61"/>
    <x v="2"/>
    <d v="2024-04-27T00:00:00"/>
    <x v="0"/>
    <x v="2"/>
    <x v="1"/>
    <s v="No"/>
    <s v="-"/>
    <x v="0"/>
    <n v="20"/>
    <n v="15"/>
    <x v="7"/>
  </r>
  <r>
    <x v="62"/>
    <x v="62"/>
    <x v="1"/>
    <d v="2024-04-28T00:00:00"/>
    <x v="1"/>
    <x v="1"/>
    <x v="0"/>
    <s v="No"/>
    <s v="-"/>
    <x v="1"/>
    <n v="0"/>
    <n v="1"/>
    <x v="4"/>
  </r>
  <r>
    <x v="63"/>
    <x v="63"/>
    <x v="0"/>
    <d v="2024-04-29T00:00:00"/>
    <x v="0"/>
    <x v="0"/>
    <x v="2"/>
    <s v="Yes"/>
    <n v="30"/>
    <x v="0"/>
    <n v="20"/>
    <n v="20"/>
    <x v="8"/>
  </r>
  <r>
    <x v="64"/>
    <x v="64"/>
    <x v="2"/>
    <d v="2024-04-30T00:00:00"/>
    <x v="1"/>
    <x v="2"/>
    <x v="0"/>
    <s v="No"/>
    <s v="-"/>
    <x v="0"/>
    <n v="20"/>
    <n v="5"/>
    <x v="13"/>
  </r>
  <r>
    <x v="65"/>
    <x v="65"/>
    <x v="1"/>
    <d v="2024-05-01T00:00:00"/>
    <x v="1"/>
    <x v="1"/>
    <x v="0"/>
    <s v="No"/>
    <s v="-"/>
    <x v="1"/>
    <n v="0"/>
    <n v="0"/>
    <x v="1"/>
  </r>
  <r>
    <x v="66"/>
    <x v="66"/>
    <x v="0"/>
    <d v="2024-05-02T00:00:00"/>
    <x v="0"/>
    <x v="0"/>
    <x v="2"/>
    <s v="Yes"/>
    <n v="30"/>
    <x v="0"/>
    <n v="20"/>
    <n v="7"/>
    <x v="12"/>
  </r>
  <r>
    <x v="67"/>
    <x v="67"/>
    <x v="2"/>
    <d v="2024-05-03T00:00:00"/>
    <x v="1"/>
    <x v="2"/>
    <x v="1"/>
    <s v="No"/>
    <s v="-"/>
    <x v="0"/>
    <n v="20"/>
    <n v="10"/>
    <x v="2"/>
  </r>
  <r>
    <x v="68"/>
    <x v="68"/>
    <x v="1"/>
    <d v="2024-05-04T00:00:00"/>
    <x v="0"/>
    <x v="1"/>
    <x v="2"/>
    <s v="No"/>
    <s v="-"/>
    <x v="1"/>
    <n v="0"/>
    <n v="1"/>
    <x v="4"/>
  </r>
  <r>
    <x v="69"/>
    <x v="69"/>
    <x v="0"/>
    <d v="2024-05-05T00:00:00"/>
    <x v="1"/>
    <x v="0"/>
    <x v="0"/>
    <s v="Yes"/>
    <n v="30"/>
    <x v="0"/>
    <n v="20"/>
    <n v="15"/>
    <x v="14"/>
  </r>
  <r>
    <x v="70"/>
    <x v="70"/>
    <x v="2"/>
    <d v="2024-05-06T00:00:00"/>
    <x v="0"/>
    <x v="2"/>
    <x v="0"/>
    <s v="No"/>
    <s v="-"/>
    <x v="0"/>
    <n v="20"/>
    <n v="5"/>
    <x v="13"/>
  </r>
  <r>
    <x v="71"/>
    <x v="71"/>
    <x v="1"/>
    <d v="2024-05-07T00:00:00"/>
    <x v="1"/>
    <x v="1"/>
    <x v="1"/>
    <s v="No"/>
    <s v="-"/>
    <x v="1"/>
    <n v="0"/>
    <n v="0"/>
    <x v="1"/>
  </r>
  <r>
    <x v="72"/>
    <x v="72"/>
    <x v="0"/>
    <d v="2024-05-08T00:00:00"/>
    <x v="0"/>
    <x v="0"/>
    <x v="2"/>
    <s v="Yes"/>
    <n v="30"/>
    <x v="0"/>
    <n v="20"/>
    <n v="20"/>
    <x v="8"/>
  </r>
  <r>
    <x v="73"/>
    <x v="73"/>
    <x v="2"/>
    <d v="2024-05-09T00:00:00"/>
    <x v="1"/>
    <x v="2"/>
    <x v="2"/>
    <s v="No"/>
    <s v="-"/>
    <x v="0"/>
    <n v="20"/>
    <n v="12"/>
    <x v="10"/>
  </r>
  <r>
    <x v="74"/>
    <x v="74"/>
    <x v="1"/>
    <d v="2024-05-10T00:00:00"/>
    <x v="0"/>
    <x v="1"/>
    <x v="0"/>
    <s v="No"/>
    <s v="-"/>
    <x v="1"/>
    <n v="0"/>
    <n v="2"/>
    <x v="11"/>
  </r>
  <r>
    <x v="75"/>
    <x v="75"/>
    <x v="0"/>
    <d v="2024-05-11T00:00:00"/>
    <x v="1"/>
    <x v="0"/>
    <x v="1"/>
    <s v="Yes"/>
    <n v="30"/>
    <x v="0"/>
    <n v="20"/>
    <n v="5"/>
    <x v="0"/>
  </r>
  <r>
    <x v="76"/>
    <x v="76"/>
    <x v="2"/>
    <d v="2024-05-12T00:00:00"/>
    <x v="0"/>
    <x v="2"/>
    <x v="0"/>
    <s v="No"/>
    <s v="-"/>
    <x v="0"/>
    <n v="20"/>
    <n v="10"/>
    <x v="2"/>
  </r>
  <r>
    <x v="77"/>
    <x v="77"/>
    <x v="1"/>
    <d v="2024-05-13T00:00:00"/>
    <x v="1"/>
    <x v="1"/>
    <x v="2"/>
    <s v="No"/>
    <s v="-"/>
    <x v="1"/>
    <n v="0"/>
    <n v="0"/>
    <x v="1"/>
  </r>
  <r>
    <x v="78"/>
    <x v="78"/>
    <x v="0"/>
    <d v="2024-05-14T00:00:00"/>
    <x v="0"/>
    <x v="0"/>
    <x v="0"/>
    <s v="Yes"/>
    <n v="30"/>
    <x v="0"/>
    <n v="20"/>
    <n v="3"/>
    <x v="3"/>
  </r>
  <r>
    <x v="79"/>
    <x v="79"/>
    <x v="2"/>
    <d v="2024-05-15T00:00:00"/>
    <x v="1"/>
    <x v="2"/>
    <x v="1"/>
    <s v="No"/>
    <s v="-"/>
    <x v="0"/>
    <n v="20"/>
    <n v="15"/>
    <x v="7"/>
  </r>
  <r>
    <x v="80"/>
    <x v="80"/>
    <x v="1"/>
    <d v="2024-05-16T00:00:00"/>
    <x v="0"/>
    <x v="1"/>
    <x v="0"/>
    <s v="No"/>
    <s v="-"/>
    <x v="1"/>
    <n v="0"/>
    <n v="1"/>
    <x v="4"/>
  </r>
  <r>
    <x v="81"/>
    <x v="81"/>
    <x v="0"/>
    <d v="2024-05-17T00:00:00"/>
    <x v="1"/>
    <x v="0"/>
    <x v="2"/>
    <s v="Yes"/>
    <n v="30"/>
    <x v="0"/>
    <n v="20"/>
    <n v="7"/>
    <x v="12"/>
  </r>
  <r>
    <x v="82"/>
    <x v="82"/>
    <x v="2"/>
    <d v="2024-05-18T00:00:00"/>
    <x v="0"/>
    <x v="2"/>
    <x v="0"/>
    <s v="No"/>
    <s v="-"/>
    <x v="0"/>
    <n v="20"/>
    <n v="10"/>
    <x v="2"/>
  </r>
  <r>
    <x v="83"/>
    <x v="83"/>
    <x v="1"/>
    <d v="2024-05-19T00:00:00"/>
    <x v="1"/>
    <x v="1"/>
    <x v="1"/>
    <s v="No"/>
    <s v="-"/>
    <x v="1"/>
    <n v="0"/>
    <n v="0"/>
    <x v="1"/>
  </r>
  <r>
    <x v="84"/>
    <x v="84"/>
    <x v="0"/>
    <d v="2024-05-20T00:00:00"/>
    <x v="0"/>
    <x v="0"/>
    <x v="0"/>
    <s v="Yes"/>
    <n v="30"/>
    <x v="0"/>
    <n v="20"/>
    <n v="20"/>
    <x v="8"/>
  </r>
  <r>
    <x v="85"/>
    <x v="85"/>
    <x v="2"/>
    <d v="2024-05-21T00:00:00"/>
    <x v="1"/>
    <x v="2"/>
    <x v="2"/>
    <s v="No"/>
    <s v="-"/>
    <x v="0"/>
    <n v="20"/>
    <n v="15"/>
    <x v="7"/>
  </r>
  <r>
    <x v="86"/>
    <x v="86"/>
    <x v="1"/>
    <d v="2024-05-22T00:00:00"/>
    <x v="0"/>
    <x v="1"/>
    <x v="0"/>
    <s v="No"/>
    <s v="-"/>
    <x v="1"/>
    <n v="0"/>
    <n v="1"/>
    <x v="4"/>
  </r>
  <r>
    <x v="87"/>
    <x v="87"/>
    <x v="0"/>
    <d v="2024-05-23T00:00:00"/>
    <x v="1"/>
    <x v="0"/>
    <x v="1"/>
    <s v="Yes"/>
    <n v="30"/>
    <x v="0"/>
    <n v="20"/>
    <n v="3"/>
    <x v="3"/>
  </r>
  <r>
    <x v="88"/>
    <x v="88"/>
    <x v="2"/>
    <d v="2024-05-24T00:00:00"/>
    <x v="0"/>
    <x v="2"/>
    <x v="0"/>
    <s v="No"/>
    <s v="-"/>
    <x v="0"/>
    <n v="20"/>
    <n v="10"/>
    <x v="2"/>
  </r>
  <r>
    <x v="89"/>
    <x v="89"/>
    <x v="1"/>
    <d v="2024-05-25T00:00:00"/>
    <x v="1"/>
    <x v="1"/>
    <x v="2"/>
    <s v="No"/>
    <s v="-"/>
    <x v="1"/>
    <n v="0"/>
    <n v="0"/>
    <x v="1"/>
  </r>
  <r>
    <x v="90"/>
    <x v="90"/>
    <x v="0"/>
    <d v="2024-05-26T00:00:00"/>
    <x v="0"/>
    <x v="0"/>
    <x v="0"/>
    <s v="Yes"/>
    <n v="30"/>
    <x v="0"/>
    <n v="20"/>
    <n v="5"/>
    <x v="0"/>
  </r>
  <r>
    <x v="91"/>
    <x v="91"/>
    <x v="2"/>
    <d v="2024-05-27T00:00:00"/>
    <x v="1"/>
    <x v="2"/>
    <x v="1"/>
    <s v="No"/>
    <s v="-"/>
    <x v="0"/>
    <n v="20"/>
    <n v="15"/>
    <x v="7"/>
  </r>
  <r>
    <x v="92"/>
    <x v="92"/>
    <x v="1"/>
    <d v="2024-05-28T00:00:00"/>
    <x v="0"/>
    <x v="1"/>
    <x v="0"/>
    <s v="No"/>
    <s v="-"/>
    <x v="1"/>
    <n v="0"/>
    <n v="1"/>
    <x v="4"/>
  </r>
  <r>
    <x v="93"/>
    <x v="93"/>
    <x v="0"/>
    <d v="2024-05-29T00:00:00"/>
    <x v="1"/>
    <x v="0"/>
    <x v="2"/>
    <s v="Yes"/>
    <n v="30"/>
    <x v="0"/>
    <n v="20"/>
    <n v="20"/>
    <x v="8"/>
  </r>
  <r>
    <x v="94"/>
    <x v="94"/>
    <x v="2"/>
    <d v="2024-05-30T00:00:00"/>
    <x v="0"/>
    <x v="2"/>
    <x v="2"/>
    <s v="No"/>
    <s v="-"/>
    <x v="0"/>
    <n v="20"/>
    <n v="15"/>
    <x v="7"/>
  </r>
  <r>
    <x v="95"/>
    <x v="95"/>
    <x v="1"/>
    <d v="2024-05-31T00:00:00"/>
    <x v="1"/>
    <x v="1"/>
    <x v="1"/>
    <s v="No"/>
    <s v="-"/>
    <x v="1"/>
    <n v="0"/>
    <n v="0"/>
    <x v="1"/>
  </r>
  <r>
    <x v="96"/>
    <x v="96"/>
    <x v="0"/>
    <d v="2024-06-01T00:00:00"/>
    <x v="0"/>
    <x v="0"/>
    <x v="0"/>
    <s v="Yes"/>
    <n v="30"/>
    <x v="0"/>
    <n v="20"/>
    <n v="7"/>
    <x v="12"/>
  </r>
  <r>
    <x v="97"/>
    <x v="97"/>
    <x v="2"/>
    <d v="2024-06-02T00:00:00"/>
    <x v="1"/>
    <x v="2"/>
    <x v="1"/>
    <s v="No"/>
    <s v="-"/>
    <x v="0"/>
    <n v="20"/>
    <n v="10"/>
    <x v="2"/>
  </r>
  <r>
    <x v="98"/>
    <x v="98"/>
    <x v="1"/>
    <d v="2024-06-03T00:00:00"/>
    <x v="0"/>
    <x v="1"/>
    <x v="2"/>
    <s v="No"/>
    <s v="-"/>
    <x v="1"/>
    <n v="0"/>
    <n v="1"/>
    <x v="4"/>
  </r>
  <r>
    <x v="99"/>
    <x v="99"/>
    <x v="0"/>
    <d v="2024-06-04T00:00:00"/>
    <x v="1"/>
    <x v="0"/>
    <x v="0"/>
    <s v="Yes"/>
    <n v="30"/>
    <x v="0"/>
    <n v="20"/>
    <n v="15"/>
    <x v="14"/>
  </r>
  <r>
    <x v="100"/>
    <x v="100"/>
    <x v="2"/>
    <d v="2024-06-05T00:00:00"/>
    <x v="0"/>
    <x v="2"/>
    <x v="0"/>
    <s v="No"/>
    <s v="-"/>
    <x v="0"/>
    <n v="20"/>
    <n v="5"/>
    <x v="13"/>
  </r>
  <r>
    <x v="101"/>
    <x v="101"/>
    <x v="1"/>
    <d v="2024-06-06T00:00:00"/>
    <x v="1"/>
    <x v="1"/>
    <x v="1"/>
    <s v="No"/>
    <s v="-"/>
    <x v="1"/>
    <n v="0"/>
    <n v="0"/>
    <x v="1"/>
  </r>
  <r>
    <x v="102"/>
    <x v="102"/>
    <x v="0"/>
    <d v="2024-06-07T00:00:00"/>
    <x v="0"/>
    <x v="0"/>
    <x v="2"/>
    <s v="Yes"/>
    <n v="30"/>
    <x v="0"/>
    <n v="20"/>
    <n v="20"/>
    <x v="8"/>
  </r>
  <r>
    <x v="103"/>
    <x v="103"/>
    <x v="2"/>
    <d v="2024-06-08T00:00:00"/>
    <x v="1"/>
    <x v="2"/>
    <x v="2"/>
    <s v="No"/>
    <s v="-"/>
    <x v="0"/>
    <n v="20"/>
    <n v="12"/>
    <x v="10"/>
  </r>
  <r>
    <x v="104"/>
    <x v="104"/>
    <x v="1"/>
    <d v="2024-06-09T00:00:00"/>
    <x v="0"/>
    <x v="1"/>
    <x v="0"/>
    <s v="No"/>
    <s v="-"/>
    <x v="1"/>
    <n v="0"/>
    <n v="2"/>
    <x v="11"/>
  </r>
  <r>
    <x v="105"/>
    <x v="105"/>
    <x v="1"/>
    <d v="2024-06-10T00:00:00"/>
    <x v="0"/>
    <x v="1"/>
    <x v="0"/>
    <s v="No"/>
    <s v="-"/>
    <x v="1"/>
    <n v="0"/>
    <n v="0"/>
    <x v="1"/>
  </r>
  <r>
    <x v="106"/>
    <x v="106"/>
    <x v="0"/>
    <d v="2024-06-11T00:00:00"/>
    <x v="1"/>
    <x v="0"/>
    <x v="2"/>
    <s v="Yes"/>
    <n v="30"/>
    <x v="0"/>
    <n v="20"/>
    <n v="7"/>
    <x v="12"/>
  </r>
  <r>
    <x v="107"/>
    <x v="107"/>
    <x v="2"/>
    <d v="2024-06-12T00:00:00"/>
    <x v="0"/>
    <x v="2"/>
    <x v="1"/>
    <s v="No"/>
    <s v="-"/>
    <x v="0"/>
    <n v="20"/>
    <n v="10"/>
    <x v="2"/>
  </r>
  <r>
    <x v="108"/>
    <x v="108"/>
    <x v="1"/>
    <d v="2024-06-13T00:00:00"/>
    <x v="1"/>
    <x v="1"/>
    <x v="2"/>
    <s v="No"/>
    <s v="-"/>
    <x v="1"/>
    <n v="0"/>
    <n v="1"/>
    <x v="4"/>
  </r>
  <r>
    <x v="109"/>
    <x v="109"/>
    <x v="0"/>
    <d v="2024-06-14T00:00:00"/>
    <x v="0"/>
    <x v="0"/>
    <x v="0"/>
    <s v="Yes"/>
    <n v="30"/>
    <x v="0"/>
    <n v="20"/>
    <n v="15"/>
    <x v="14"/>
  </r>
  <r>
    <x v="110"/>
    <x v="110"/>
    <x v="2"/>
    <d v="2024-06-15T00:00:00"/>
    <x v="1"/>
    <x v="2"/>
    <x v="0"/>
    <s v="No"/>
    <s v="-"/>
    <x v="0"/>
    <n v="20"/>
    <n v="5"/>
    <x v="13"/>
  </r>
  <r>
    <x v="111"/>
    <x v="111"/>
    <x v="1"/>
    <d v="2024-06-16T00:00:00"/>
    <x v="0"/>
    <x v="1"/>
    <x v="1"/>
    <s v="No"/>
    <s v="-"/>
    <x v="1"/>
    <n v="0"/>
    <n v="0"/>
    <x v="1"/>
  </r>
  <r>
    <x v="112"/>
    <x v="112"/>
    <x v="0"/>
    <d v="2024-06-17T00:00:00"/>
    <x v="1"/>
    <x v="0"/>
    <x v="2"/>
    <s v="Yes"/>
    <n v="30"/>
    <x v="0"/>
    <n v="20"/>
    <n v="20"/>
    <x v="8"/>
  </r>
  <r>
    <x v="113"/>
    <x v="113"/>
    <x v="2"/>
    <d v="2024-06-18T00:00:00"/>
    <x v="0"/>
    <x v="2"/>
    <x v="2"/>
    <s v="No"/>
    <s v="-"/>
    <x v="0"/>
    <n v="20"/>
    <n v="12"/>
    <x v="10"/>
  </r>
  <r>
    <x v="114"/>
    <x v="114"/>
    <x v="1"/>
    <d v="2024-06-19T00:00:00"/>
    <x v="1"/>
    <x v="1"/>
    <x v="0"/>
    <s v="No"/>
    <s v="-"/>
    <x v="1"/>
    <n v="0"/>
    <n v="2"/>
    <x v="11"/>
  </r>
  <r>
    <x v="115"/>
    <x v="115"/>
    <x v="0"/>
    <d v="2024-06-20T00:00:00"/>
    <x v="0"/>
    <x v="0"/>
    <x v="1"/>
    <s v="Yes"/>
    <n v="30"/>
    <x v="0"/>
    <n v="20"/>
    <n v="5"/>
    <x v="0"/>
  </r>
  <r>
    <x v="116"/>
    <x v="116"/>
    <x v="2"/>
    <d v="2024-06-21T00:00:00"/>
    <x v="1"/>
    <x v="2"/>
    <x v="0"/>
    <s v="No"/>
    <s v="-"/>
    <x v="0"/>
    <n v="20"/>
    <n v="10"/>
    <x v="2"/>
  </r>
  <r>
    <x v="117"/>
    <x v="117"/>
    <x v="1"/>
    <d v="2024-06-22T00:00:00"/>
    <x v="0"/>
    <x v="1"/>
    <x v="2"/>
    <s v="No"/>
    <s v="-"/>
    <x v="1"/>
    <n v="0"/>
    <n v="0"/>
    <x v="1"/>
  </r>
  <r>
    <x v="118"/>
    <x v="93"/>
    <x v="0"/>
    <d v="2024-06-23T00:00:00"/>
    <x v="1"/>
    <x v="0"/>
    <x v="0"/>
    <s v="Yes"/>
    <n v="30"/>
    <x v="0"/>
    <n v="20"/>
    <n v="3"/>
    <x v="3"/>
  </r>
  <r>
    <x v="119"/>
    <x v="118"/>
    <x v="2"/>
    <d v="2024-06-24T00:00:00"/>
    <x v="0"/>
    <x v="2"/>
    <x v="1"/>
    <s v="No"/>
    <s v="-"/>
    <x v="0"/>
    <n v="20"/>
    <n v="15"/>
    <x v="7"/>
  </r>
  <r>
    <x v="120"/>
    <x v="119"/>
    <x v="1"/>
    <d v="2024-06-25T00:00:00"/>
    <x v="1"/>
    <x v="1"/>
    <x v="0"/>
    <s v="No"/>
    <s v="-"/>
    <x v="1"/>
    <n v="0"/>
    <n v="1"/>
    <x v="4"/>
  </r>
  <r>
    <x v="121"/>
    <x v="120"/>
    <x v="0"/>
    <d v="2024-06-26T00:00:00"/>
    <x v="0"/>
    <x v="0"/>
    <x v="2"/>
    <s v="Yes"/>
    <n v="30"/>
    <x v="0"/>
    <n v="20"/>
    <n v="7"/>
    <x v="12"/>
  </r>
  <r>
    <x v="122"/>
    <x v="121"/>
    <x v="2"/>
    <d v="2024-06-27T00:00:00"/>
    <x v="1"/>
    <x v="2"/>
    <x v="0"/>
    <s v="No"/>
    <s v="-"/>
    <x v="0"/>
    <n v="20"/>
    <n v="10"/>
    <x v="2"/>
  </r>
  <r>
    <x v="123"/>
    <x v="122"/>
    <x v="1"/>
    <d v="2024-06-28T00:00:00"/>
    <x v="0"/>
    <x v="1"/>
    <x v="1"/>
    <s v="No"/>
    <s v="-"/>
    <x v="1"/>
    <n v="0"/>
    <n v="0"/>
    <x v="1"/>
  </r>
  <r>
    <x v="124"/>
    <x v="123"/>
    <x v="0"/>
    <d v="2024-06-29T00:00:00"/>
    <x v="1"/>
    <x v="0"/>
    <x v="0"/>
    <s v="Yes"/>
    <n v="30"/>
    <x v="0"/>
    <n v="20"/>
    <n v="20"/>
    <x v="8"/>
  </r>
  <r>
    <x v="125"/>
    <x v="124"/>
    <x v="2"/>
    <d v="2024-06-30T00:00:00"/>
    <x v="0"/>
    <x v="2"/>
    <x v="2"/>
    <s v="No"/>
    <s v="-"/>
    <x v="0"/>
    <n v="20"/>
    <n v="15"/>
    <x v="7"/>
  </r>
  <r>
    <x v="126"/>
    <x v="125"/>
    <x v="1"/>
    <d v="2024-07-01T00:00:00"/>
    <x v="1"/>
    <x v="1"/>
    <x v="0"/>
    <s v="No"/>
    <s v="-"/>
    <x v="1"/>
    <n v="0"/>
    <n v="1"/>
    <x v="4"/>
  </r>
  <r>
    <x v="127"/>
    <x v="126"/>
    <x v="0"/>
    <d v="2024-07-02T00:00:00"/>
    <x v="0"/>
    <x v="0"/>
    <x v="1"/>
    <s v="Yes"/>
    <n v="30"/>
    <x v="0"/>
    <n v="20"/>
    <n v="3"/>
    <x v="3"/>
  </r>
  <r>
    <x v="128"/>
    <x v="127"/>
    <x v="2"/>
    <d v="2024-07-03T00:00:00"/>
    <x v="1"/>
    <x v="2"/>
    <x v="0"/>
    <s v="No"/>
    <s v="-"/>
    <x v="0"/>
    <n v="20"/>
    <n v="10"/>
    <x v="2"/>
  </r>
  <r>
    <x v="129"/>
    <x v="128"/>
    <x v="1"/>
    <d v="2024-07-04T00:00:00"/>
    <x v="0"/>
    <x v="1"/>
    <x v="2"/>
    <s v="No"/>
    <s v="-"/>
    <x v="1"/>
    <n v="0"/>
    <n v="0"/>
    <x v="1"/>
  </r>
  <r>
    <x v="130"/>
    <x v="129"/>
    <x v="0"/>
    <d v="2024-07-05T00:00:00"/>
    <x v="1"/>
    <x v="0"/>
    <x v="0"/>
    <s v="Yes"/>
    <n v="30"/>
    <x v="0"/>
    <n v="20"/>
    <n v="15"/>
    <x v="14"/>
  </r>
  <r>
    <x v="131"/>
    <x v="130"/>
    <x v="2"/>
    <d v="2024-07-06T00:00:00"/>
    <x v="0"/>
    <x v="2"/>
    <x v="1"/>
    <s v="No"/>
    <s v="-"/>
    <x v="0"/>
    <n v="20"/>
    <n v="15"/>
    <x v="7"/>
  </r>
  <r>
    <x v="132"/>
    <x v="131"/>
    <x v="1"/>
    <d v="2024-07-07T00:00:00"/>
    <x v="1"/>
    <x v="1"/>
    <x v="0"/>
    <s v="No"/>
    <s v="-"/>
    <x v="1"/>
    <n v="0"/>
    <n v="1"/>
    <x v="4"/>
  </r>
  <r>
    <x v="133"/>
    <x v="132"/>
    <x v="0"/>
    <d v="2024-07-08T00:00:00"/>
    <x v="0"/>
    <x v="0"/>
    <x v="2"/>
    <s v="Yes"/>
    <n v="30"/>
    <x v="0"/>
    <n v="20"/>
    <n v="7"/>
    <x v="12"/>
  </r>
  <r>
    <x v="134"/>
    <x v="133"/>
    <x v="2"/>
    <d v="2024-07-09T00:00:00"/>
    <x v="1"/>
    <x v="2"/>
    <x v="0"/>
    <s v="No"/>
    <s v="-"/>
    <x v="0"/>
    <n v="20"/>
    <n v="10"/>
    <x v="2"/>
  </r>
  <r>
    <x v="135"/>
    <x v="134"/>
    <x v="1"/>
    <d v="2024-07-10T00:00:00"/>
    <x v="0"/>
    <x v="1"/>
    <x v="0"/>
    <s v="No"/>
    <s v="-"/>
    <x v="1"/>
    <n v="0"/>
    <n v="0"/>
    <x v="1"/>
  </r>
  <r>
    <x v="136"/>
    <x v="135"/>
    <x v="0"/>
    <d v="2024-07-11T00:00:00"/>
    <x v="1"/>
    <x v="0"/>
    <x v="2"/>
    <s v="Yes"/>
    <n v="30"/>
    <x v="0"/>
    <n v="20"/>
    <n v="7"/>
    <x v="12"/>
  </r>
  <r>
    <x v="137"/>
    <x v="136"/>
    <x v="2"/>
    <d v="2024-07-12T00:00:00"/>
    <x v="0"/>
    <x v="2"/>
    <x v="1"/>
    <s v="No"/>
    <s v="-"/>
    <x v="0"/>
    <n v="20"/>
    <n v="10"/>
    <x v="2"/>
  </r>
  <r>
    <x v="138"/>
    <x v="137"/>
    <x v="1"/>
    <d v="2024-07-13T00:00:00"/>
    <x v="1"/>
    <x v="1"/>
    <x v="2"/>
    <s v="No"/>
    <s v="-"/>
    <x v="1"/>
    <n v="0"/>
    <n v="1"/>
    <x v="4"/>
  </r>
  <r>
    <x v="139"/>
    <x v="138"/>
    <x v="0"/>
    <d v="2024-07-14T00:00:00"/>
    <x v="0"/>
    <x v="0"/>
    <x v="0"/>
    <s v="Yes"/>
    <n v="30"/>
    <x v="0"/>
    <n v="20"/>
    <n v="15"/>
    <x v="14"/>
  </r>
  <r>
    <x v="140"/>
    <x v="139"/>
    <x v="2"/>
    <d v="2024-07-15T00:00:00"/>
    <x v="1"/>
    <x v="2"/>
    <x v="0"/>
    <s v="No"/>
    <s v="-"/>
    <x v="0"/>
    <n v="20"/>
    <n v="5"/>
    <x v="13"/>
  </r>
  <r>
    <x v="141"/>
    <x v="140"/>
    <x v="1"/>
    <d v="2024-07-16T00:00:00"/>
    <x v="0"/>
    <x v="1"/>
    <x v="1"/>
    <s v="No"/>
    <s v="-"/>
    <x v="1"/>
    <n v="0"/>
    <n v="0"/>
    <x v="1"/>
  </r>
  <r>
    <x v="142"/>
    <x v="141"/>
    <x v="0"/>
    <d v="2024-07-17T00:00:00"/>
    <x v="1"/>
    <x v="0"/>
    <x v="2"/>
    <s v="Yes"/>
    <n v="30"/>
    <x v="0"/>
    <n v="20"/>
    <n v="20"/>
    <x v="8"/>
  </r>
  <r>
    <x v="143"/>
    <x v="142"/>
    <x v="2"/>
    <d v="2024-07-18T00:00:00"/>
    <x v="0"/>
    <x v="2"/>
    <x v="2"/>
    <s v="No"/>
    <s v="-"/>
    <x v="0"/>
    <n v="20"/>
    <n v="12"/>
    <x v="10"/>
  </r>
  <r>
    <x v="144"/>
    <x v="143"/>
    <x v="1"/>
    <d v="2024-07-19T00:00:00"/>
    <x v="1"/>
    <x v="1"/>
    <x v="0"/>
    <s v="No"/>
    <s v="-"/>
    <x v="1"/>
    <n v="0"/>
    <n v="2"/>
    <x v="11"/>
  </r>
  <r>
    <x v="145"/>
    <x v="144"/>
    <x v="0"/>
    <d v="2024-07-20T00:00:00"/>
    <x v="0"/>
    <x v="0"/>
    <x v="1"/>
    <s v="Yes"/>
    <n v="30"/>
    <x v="0"/>
    <n v="20"/>
    <n v="5"/>
    <x v="0"/>
  </r>
  <r>
    <x v="146"/>
    <x v="145"/>
    <x v="2"/>
    <d v="2024-07-21T00:00:00"/>
    <x v="1"/>
    <x v="2"/>
    <x v="0"/>
    <s v="No"/>
    <s v="-"/>
    <x v="0"/>
    <n v="20"/>
    <n v="10"/>
    <x v="2"/>
  </r>
  <r>
    <x v="147"/>
    <x v="146"/>
    <x v="1"/>
    <d v="2024-07-22T00:00:00"/>
    <x v="0"/>
    <x v="1"/>
    <x v="2"/>
    <s v="No"/>
    <s v="-"/>
    <x v="1"/>
    <n v="0"/>
    <n v="0"/>
    <x v="1"/>
  </r>
  <r>
    <x v="148"/>
    <x v="147"/>
    <x v="0"/>
    <d v="2024-07-23T00:00:00"/>
    <x v="1"/>
    <x v="0"/>
    <x v="0"/>
    <s v="Yes"/>
    <n v="30"/>
    <x v="0"/>
    <n v="20"/>
    <n v="3"/>
    <x v="3"/>
  </r>
  <r>
    <x v="149"/>
    <x v="148"/>
    <x v="2"/>
    <d v="2024-07-24T00:00:00"/>
    <x v="0"/>
    <x v="2"/>
    <x v="1"/>
    <s v="No"/>
    <s v="-"/>
    <x v="0"/>
    <n v="20"/>
    <n v="15"/>
    <x v="7"/>
  </r>
  <r>
    <x v="150"/>
    <x v="149"/>
    <x v="1"/>
    <d v="2024-07-25T00:00:00"/>
    <x v="1"/>
    <x v="1"/>
    <x v="0"/>
    <s v="No"/>
    <s v="-"/>
    <x v="1"/>
    <n v="0"/>
    <n v="1"/>
    <x v="4"/>
  </r>
  <r>
    <x v="151"/>
    <x v="150"/>
    <x v="0"/>
    <d v="2024-07-26T00:00:00"/>
    <x v="0"/>
    <x v="0"/>
    <x v="2"/>
    <s v="Yes"/>
    <n v="30"/>
    <x v="0"/>
    <n v="20"/>
    <n v="7"/>
    <x v="12"/>
  </r>
  <r>
    <x v="152"/>
    <x v="151"/>
    <x v="2"/>
    <d v="2024-07-27T00:00:00"/>
    <x v="1"/>
    <x v="2"/>
    <x v="0"/>
    <s v="No"/>
    <s v="-"/>
    <x v="0"/>
    <n v="20"/>
    <n v="10"/>
    <x v="2"/>
  </r>
  <r>
    <x v="153"/>
    <x v="152"/>
    <x v="1"/>
    <d v="2024-07-28T00:00:00"/>
    <x v="0"/>
    <x v="1"/>
    <x v="1"/>
    <s v="No"/>
    <s v="-"/>
    <x v="1"/>
    <n v="0"/>
    <n v="0"/>
    <x v="1"/>
  </r>
  <r>
    <x v="154"/>
    <x v="153"/>
    <x v="0"/>
    <d v="2024-07-29T00:00:00"/>
    <x v="1"/>
    <x v="0"/>
    <x v="0"/>
    <s v="Yes"/>
    <n v="30"/>
    <x v="0"/>
    <n v="20"/>
    <n v="20"/>
    <x v="8"/>
  </r>
  <r>
    <x v="155"/>
    <x v="154"/>
    <x v="2"/>
    <d v="2024-07-30T00:00:00"/>
    <x v="0"/>
    <x v="2"/>
    <x v="2"/>
    <s v="No"/>
    <s v="-"/>
    <x v="0"/>
    <n v="20"/>
    <n v="15"/>
    <x v="7"/>
  </r>
  <r>
    <x v="156"/>
    <x v="155"/>
    <x v="1"/>
    <d v="2024-07-31T00:00:00"/>
    <x v="1"/>
    <x v="1"/>
    <x v="0"/>
    <s v="No"/>
    <s v="-"/>
    <x v="1"/>
    <n v="0"/>
    <n v="1"/>
    <x v="4"/>
  </r>
  <r>
    <x v="157"/>
    <x v="156"/>
    <x v="0"/>
    <d v="2024-08-01T00:00:00"/>
    <x v="0"/>
    <x v="0"/>
    <x v="1"/>
    <s v="Yes"/>
    <n v="30"/>
    <x v="0"/>
    <n v="20"/>
    <n v="3"/>
    <x v="3"/>
  </r>
  <r>
    <x v="158"/>
    <x v="157"/>
    <x v="2"/>
    <d v="2024-08-02T00:00:00"/>
    <x v="1"/>
    <x v="2"/>
    <x v="0"/>
    <s v="No"/>
    <s v="-"/>
    <x v="0"/>
    <n v="20"/>
    <n v="10"/>
    <x v="2"/>
  </r>
  <r>
    <x v="159"/>
    <x v="158"/>
    <x v="1"/>
    <d v="2024-08-03T00:00:00"/>
    <x v="0"/>
    <x v="1"/>
    <x v="2"/>
    <s v="No"/>
    <s v="-"/>
    <x v="1"/>
    <n v="0"/>
    <n v="0"/>
    <x v="1"/>
  </r>
  <r>
    <x v="160"/>
    <x v="58"/>
    <x v="0"/>
    <d v="2024-08-04T00:00:00"/>
    <x v="1"/>
    <x v="0"/>
    <x v="0"/>
    <s v="Yes"/>
    <n v="30"/>
    <x v="0"/>
    <n v="20"/>
    <n v="15"/>
    <x v="14"/>
  </r>
  <r>
    <x v="161"/>
    <x v="159"/>
    <x v="2"/>
    <d v="2024-08-05T00:00:00"/>
    <x v="0"/>
    <x v="2"/>
    <x v="1"/>
    <s v="No"/>
    <s v="-"/>
    <x v="0"/>
    <n v="20"/>
    <n v="15"/>
    <x v="7"/>
  </r>
  <r>
    <x v="162"/>
    <x v="160"/>
    <x v="1"/>
    <d v="2024-08-06T00:00:00"/>
    <x v="1"/>
    <x v="1"/>
    <x v="0"/>
    <s v="No"/>
    <s v="-"/>
    <x v="1"/>
    <n v="0"/>
    <n v="1"/>
    <x v="4"/>
  </r>
  <r>
    <x v="163"/>
    <x v="161"/>
    <x v="0"/>
    <d v="2024-08-07T00:00:00"/>
    <x v="0"/>
    <x v="0"/>
    <x v="2"/>
    <s v="Yes"/>
    <n v="30"/>
    <x v="0"/>
    <n v="20"/>
    <n v="7"/>
    <x v="12"/>
  </r>
  <r>
    <x v="164"/>
    <x v="162"/>
    <x v="2"/>
    <d v="2024-08-08T00:00:00"/>
    <x v="1"/>
    <x v="2"/>
    <x v="0"/>
    <s v="No"/>
    <s v="-"/>
    <x v="0"/>
    <n v="20"/>
    <n v="10"/>
    <x v="2"/>
  </r>
  <r>
    <x v="165"/>
    <x v="163"/>
    <x v="1"/>
    <d v="2024-08-09T00:00:00"/>
    <x v="0"/>
    <x v="1"/>
    <x v="1"/>
    <s v="No"/>
    <s v="-"/>
    <x v="1"/>
    <n v="0"/>
    <n v="0"/>
    <x v="1"/>
  </r>
  <r>
    <x v="166"/>
    <x v="90"/>
    <x v="0"/>
    <d v="2024-08-10T00:00:00"/>
    <x v="1"/>
    <x v="0"/>
    <x v="0"/>
    <s v="Yes"/>
    <n v="30"/>
    <x v="0"/>
    <n v="20"/>
    <n v="20"/>
    <x v="8"/>
  </r>
  <r>
    <x v="167"/>
    <x v="164"/>
    <x v="2"/>
    <d v="2024-08-11T00:00:00"/>
    <x v="0"/>
    <x v="2"/>
    <x v="2"/>
    <s v="No"/>
    <s v="-"/>
    <x v="0"/>
    <n v="20"/>
    <n v="15"/>
    <x v="7"/>
  </r>
  <r>
    <x v="168"/>
    <x v="165"/>
    <x v="1"/>
    <d v="2024-08-12T00:00:00"/>
    <x v="1"/>
    <x v="1"/>
    <x v="0"/>
    <s v="No"/>
    <s v="-"/>
    <x v="1"/>
    <n v="0"/>
    <n v="1"/>
    <x v="4"/>
  </r>
  <r>
    <x v="169"/>
    <x v="166"/>
    <x v="0"/>
    <d v="2024-08-13T00:00:00"/>
    <x v="0"/>
    <x v="0"/>
    <x v="1"/>
    <s v="Yes"/>
    <n v="30"/>
    <x v="0"/>
    <n v="20"/>
    <n v="5"/>
    <x v="0"/>
  </r>
  <r>
    <x v="170"/>
    <x v="167"/>
    <x v="2"/>
    <d v="2024-08-14T00:00:00"/>
    <x v="1"/>
    <x v="2"/>
    <x v="0"/>
    <s v="No"/>
    <s v="-"/>
    <x v="0"/>
    <n v="20"/>
    <n v="10"/>
    <x v="2"/>
  </r>
  <r>
    <x v="171"/>
    <x v="168"/>
    <x v="1"/>
    <d v="2024-08-15T00:00:00"/>
    <x v="0"/>
    <x v="1"/>
    <x v="2"/>
    <s v="No"/>
    <s v="-"/>
    <x v="1"/>
    <n v="0"/>
    <n v="0"/>
    <x v="1"/>
  </r>
  <r>
    <x v="172"/>
    <x v="169"/>
    <x v="0"/>
    <d v="2024-08-16T00:00:00"/>
    <x v="1"/>
    <x v="0"/>
    <x v="0"/>
    <s v="Yes"/>
    <n v="30"/>
    <x v="0"/>
    <n v="20"/>
    <n v="3"/>
    <x v="3"/>
  </r>
  <r>
    <x v="173"/>
    <x v="170"/>
    <x v="2"/>
    <d v="2024-08-17T00:00:00"/>
    <x v="0"/>
    <x v="2"/>
    <x v="1"/>
    <s v="No"/>
    <s v="-"/>
    <x v="0"/>
    <n v="20"/>
    <n v="15"/>
    <x v="7"/>
  </r>
  <r>
    <x v="174"/>
    <x v="171"/>
    <x v="1"/>
    <d v="2024-08-18T00:00:00"/>
    <x v="1"/>
    <x v="1"/>
    <x v="0"/>
    <s v="No"/>
    <s v="-"/>
    <x v="1"/>
    <n v="0"/>
    <n v="1"/>
    <x v="4"/>
  </r>
  <r>
    <x v="175"/>
    <x v="172"/>
    <x v="1"/>
    <d v="2024-08-19T00:00:00"/>
    <x v="0"/>
    <x v="1"/>
    <x v="0"/>
    <s v="No"/>
    <s v="-"/>
    <x v="1"/>
    <n v="0"/>
    <n v="0"/>
    <x v="1"/>
  </r>
  <r>
    <x v="176"/>
    <x v="173"/>
    <x v="0"/>
    <d v="2024-08-20T00:00:00"/>
    <x v="1"/>
    <x v="0"/>
    <x v="2"/>
    <s v="Yes"/>
    <n v="30"/>
    <x v="0"/>
    <n v="20"/>
    <n v="7"/>
    <x v="12"/>
  </r>
  <r>
    <x v="177"/>
    <x v="174"/>
    <x v="2"/>
    <d v="2024-08-21T00:00:00"/>
    <x v="0"/>
    <x v="2"/>
    <x v="1"/>
    <s v="No"/>
    <s v="-"/>
    <x v="0"/>
    <n v="20"/>
    <n v="10"/>
    <x v="2"/>
  </r>
  <r>
    <x v="178"/>
    <x v="175"/>
    <x v="1"/>
    <d v="2024-08-22T00:00:00"/>
    <x v="1"/>
    <x v="1"/>
    <x v="2"/>
    <s v="No"/>
    <s v="-"/>
    <x v="1"/>
    <n v="0"/>
    <n v="1"/>
    <x v="4"/>
  </r>
  <r>
    <x v="179"/>
    <x v="176"/>
    <x v="0"/>
    <d v="2024-08-23T00:00:00"/>
    <x v="0"/>
    <x v="0"/>
    <x v="0"/>
    <s v="Yes"/>
    <n v="30"/>
    <x v="0"/>
    <n v="20"/>
    <n v="15"/>
    <x v="14"/>
  </r>
  <r>
    <x v="180"/>
    <x v="177"/>
    <x v="2"/>
    <d v="2024-08-24T00:00:00"/>
    <x v="1"/>
    <x v="2"/>
    <x v="0"/>
    <s v="No"/>
    <s v="-"/>
    <x v="0"/>
    <n v="20"/>
    <n v="5"/>
    <x v="13"/>
  </r>
  <r>
    <x v="181"/>
    <x v="178"/>
    <x v="1"/>
    <d v="2024-08-25T00:00:00"/>
    <x v="0"/>
    <x v="1"/>
    <x v="1"/>
    <s v="No"/>
    <s v="-"/>
    <x v="1"/>
    <n v="0"/>
    <n v="0"/>
    <x v="1"/>
  </r>
  <r>
    <x v="182"/>
    <x v="179"/>
    <x v="0"/>
    <d v="2024-08-26T00:00:00"/>
    <x v="1"/>
    <x v="0"/>
    <x v="2"/>
    <s v="Yes"/>
    <n v="30"/>
    <x v="0"/>
    <n v="20"/>
    <n v="20"/>
    <x v="8"/>
  </r>
  <r>
    <x v="183"/>
    <x v="180"/>
    <x v="2"/>
    <d v="2024-08-27T00:00:00"/>
    <x v="0"/>
    <x v="2"/>
    <x v="2"/>
    <s v="No"/>
    <s v="-"/>
    <x v="0"/>
    <n v="20"/>
    <n v="12"/>
    <x v="10"/>
  </r>
  <r>
    <x v="184"/>
    <x v="181"/>
    <x v="1"/>
    <d v="2024-08-28T00:00:00"/>
    <x v="1"/>
    <x v="1"/>
    <x v="0"/>
    <s v="No"/>
    <s v="-"/>
    <x v="1"/>
    <n v="0"/>
    <n v="2"/>
    <x v="11"/>
  </r>
  <r>
    <x v="185"/>
    <x v="182"/>
    <x v="0"/>
    <d v="2024-08-29T00:00:00"/>
    <x v="0"/>
    <x v="0"/>
    <x v="1"/>
    <s v="Yes"/>
    <n v="30"/>
    <x v="0"/>
    <n v="20"/>
    <n v="5"/>
    <x v="0"/>
  </r>
  <r>
    <x v="186"/>
    <x v="183"/>
    <x v="2"/>
    <d v="2024-08-30T00:00:00"/>
    <x v="1"/>
    <x v="2"/>
    <x v="0"/>
    <s v="No"/>
    <s v="-"/>
    <x v="0"/>
    <n v="20"/>
    <n v="10"/>
    <x v="2"/>
  </r>
  <r>
    <x v="187"/>
    <x v="184"/>
    <x v="1"/>
    <d v="2024-08-31T00:00:00"/>
    <x v="0"/>
    <x v="1"/>
    <x v="2"/>
    <s v="No"/>
    <s v="-"/>
    <x v="1"/>
    <n v="0"/>
    <n v="0"/>
    <x v="1"/>
  </r>
  <r>
    <x v="188"/>
    <x v="185"/>
    <x v="0"/>
    <d v="2024-09-01T00:00:00"/>
    <x v="1"/>
    <x v="0"/>
    <x v="0"/>
    <s v="Yes"/>
    <n v="30"/>
    <x v="0"/>
    <n v="20"/>
    <n v="3"/>
    <x v="3"/>
  </r>
  <r>
    <x v="189"/>
    <x v="186"/>
    <x v="2"/>
    <d v="2024-09-02T00:00:00"/>
    <x v="0"/>
    <x v="2"/>
    <x v="1"/>
    <s v="No"/>
    <s v="-"/>
    <x v="0"/>
    <n v="20"/>
    <n v="15"/>
    <x v="7"/>
  </r>
  <r>
    <x v="190"/>
    <x v="15"/>
    <x v="1"/>
    <d v="2024-09-03T00:00:00"/>
    <x v="1"/>
    <x v="1"/>
    <x v="0"/>
    <s v="No"/>
    <s v="-"/>
    <x v="1"/>
    <n v="0"/>
    <n v="1"/>
    <x v="4"/>
  </r>
  <r>
    <x v="191"/>
    <x v="187"/>
    <x v="0"/>
    <d v="2024-09-04T00:00:00"/>
    <x v="0"/>
    <x v="0"/>
    <x v="2"/>
    <s v="Yes"/>
    <n v="30"/>
    <x v="0"/>
    <n v="20"/>
    <n v="7"/>
    <x v="12"/>
  </r>
  <r>
    <x v="192"/>
    <x v="188"/>
    <x v="2"/>
    <d v="2024-09-05T00:00:00"/>
    <x v="1"/>
    <x v="2"/>
    <x v="0"/>
    <s v="No"/>
    <s v="-"/>
    <x v="0"/>
    <n v="20"/>
    <n v="10"/>
    <x v="2"/>
  </r>
  <r>
    <x v="193"/>
    <x v="14"/>
    <x v="1"/>
    <d v="2024-09-06T00:00:00"/>
    <x v="0"/>
    <x v="1"/>
    <x v="1"/>
    <s v="No"/>
    <s v="-"/>
    <x v="1"/>
    <n v="0"/>
    <n v="0"/>
    <x v="1"/>
  </r>
  <r>
    <x v="194"/>
    <x v="189"/>
    <x v="0"/>
    <d v="2024-09-07T00:00:00"/>
    <x v="1"/>
    <x v="0"/>
    <x v="0"/>
    <s v="Yes"/>
    <n v="30"/>
    <x v="0"/>
    <n v="20"/>
    <n v="20"/>
    <x v="8"/>
  </r>
  <r>
    <x v="195"/>
    <x v="167"/>
    <x v="2"/>
    <d v="2024-09-08T00:00:00"/>
    <x v="0"/>
    <x v="2"/>
    <x v="2"/>
    <s v="No"/>
    <s v="-"/>
    <x v="0"/>
    <n v="20"/>
    <n v="15"/>
    <x v="7"/>
  </r>
  <r>
    <x v="196"/>
    <x v="190"/>
    <x v="1"/>
    <d v="2024-09-09T00:00:00"/>
    <x v="1"/>
    <x v="1"/>
    <x v="0"/>
    <s v="No"/>
    <s v="-"/>
    <x v="1"/>
    <n v="0"/>
    <n v="1"/>
    <x v="4"/>
  </r>
  <r>
    <x v="197"/>
    <x v="191"/>
    <x v="0"/>
    <d v="2024-09-10T00:00:00"/>
    <x v="0"/>
    <x v="0"/>
    <x v="1"/>
    <s v="Yes"/>
    <n v="30"/>
    <x v="0"/>
    <n v="20"/>
    <n v="3"/>
    <x v="3"/>
  </r>
  <r>
    <x v="198"/>
    <x v="192"/>
    <x v="2"/>
    <d v="2024-09-11T00:00:00"/>
    <x v="1"/>
    <x v="2"/>
    <x v="0"/>
    <s v="No"/>
    <s v="-"/>
    <x v="0"/>
    <n v="20"/>
    <n v="10"/>
    <x v="2"/>
  </r>
  <r>
    <x v="199"/>
    <x v="193"/>
    <x v="1"/>
    <d v="2024-09-12T00:00:00"/>
    <x v="0"/>
    <x v="1"/>
    <x v="2"/>
    <s v="No"/>
    <s v="-"/>
    <x v="1"/>
    <n v="0"/>
    <n v="0"/>
    <x v="1"/>
  </r>
  <r>
    <x v="200"/>
    <x v="194"/>
    <x v="0"/>
    <d v="2024-09-13T00:00:00"/>
    <x v="1"/>
    <x v="0"/>
    <x v="0"/>
    <s v="Yes"/>
    <n v="30"/>
    <x v="0"/>
    <n v="20"/>
    <n v="15"/>
    <x v="14"/>
  </r>
  <r>
    <x v="201"/>
    <x v="195"/>
    <x v="2"/>
    <d v="2024-09-14T00:00:00"/>
    <x v="0"/>
    <x v="2"/>
    <x v="1"/>
    <s v="No"/>
    <s v="-"/>
    <x v="0"/>
    <n v="20"/>
    <n v="15"/>
    <x v="7"/>
  </r>
  <r>
    <x v="202"/>
    <x v="196"/>
    <x v="1"/>
    <d v="2024-09-15T00:00:00"/>
    <x v="1"/>
    <x v="1"/>
    <x v="0"/>
    <s v="No"/>
    <s v="-"/>
    <x v="1"/>
    <n v="0"/>
    <n v="1"/>
    <x v="4"/>
  </r>
  <r>
    <x v="203"/>
    <x v="197"/>
    <x v="0"/>
    <d v="2024-09-16T00:00:00"/>
    <x v="0"/>
    <x v="0"/>
    <x v="2"/>
    <s v="Yes"/>
    <n v="30"/>
    <x v="0"/>
    <n v="20"/>
    <n v="7"/>
    <x v="12"/>
  </r>
  <r>
    <x v="204"/>
    <x v="198"/>
    <x v="2"/>
    <d v="2024-09-17T00:00:00"/>
    <x v="1"/>
    <x v="2"/>
    <x v="0"/>
    <s v="No"/>
    <s v="-"/>
    <x v="0"/>
    <n v="20"/>
    <n v="10"/>
    <x v="2"/>
  </r>
  <r>
    <x v="205"/>
    <x v="199"/>
    <x v="1"/>
    <d v="2024-09-18T00:00:00"/>
    <x v="0"/>
    <x v="1"/>
    <x v="0"/>
    <s v="No"/>
    <s v="-"/>
    <x v="1"/>
    <n v="0"/>
    <n v="0"/>
    <x v="1"/>
  </r>
  <r>
    <x v="206"/>
    <x v="200"/>
    <x v="0"/>
    <d v="2024-09-19T00:00:00"/>
    <x v="1"/>
    <x v="0"/>
    <x v="2"/>
    <s v="Yes"/>
    <n v="30"/>
    <x v="0"/>
    <n v="20"/>
    <n v="7"/>
    <x v="12"/>
  </r>
  <r>
    <x v="207"/>
    <x v="201"/>
    <x v="2"/>
    <d v="2024-09-20T00:00:00"/>
    <x v="0"/>
    <x v="2"/>
    <x v="1"/>
    <s v="No"/>
    <s v="-"/>
    <x v="0"/>
    <n v="20"/>
    <n v="10"/>
    <x v="2"/>
  </r>
  <r>
    <x v="208"/>
    <x v="202"/>
    <x v="1"/>
    <d v="2024-09-21T00:00:00"/>
    <x v="1"/>
    <x v="1"/>
    <x v="2"/>
    <s v="No"/>
    <s v="-"/>
    <x v="1"/>
    <n v="0"/>
    <n v="1"/>
    <x v="4"/>
  </r>
  <r>
    <x v="209"/>
    <x v="203"/>
    <x v="0"/>
    <d v="2024-09-22T00:00:00"/>
    <x v="0"/>
    <x v="0"/>
    <x v="0"/>
    <s v="Yes"/>
    <n v="30"/>
    <x v="0"/>
    <n v="20"/>
    <n v="15"/>
    <x v="14"/>
  </r>
  <r>
    <x v="210"/>
    <x v="204"/>
    <x v="2"/>
    <d v="2024-09-23T00:00:00"/>
    <x v="1"/>
    <x v="2"/>
    <x v="0"/>
    <s v="No"/>
    <s v="-"/>
    <x v="0"/>
    <n v="20"/>
    <n v="5"/>
    <x v="13"/>
  </r>
  <r>
    <x v="211"/>
    <x v="205"/>
    <x v="1"/>
    <d v="2024-09-24T00:00:00"/>
    <x v="0"/>
    <x v="1"/>
    <x v="1"/>
    <s v="No"/>
    <s v="-"/>
    <x v="1"/>
    <n v="0"/>
    <n v="0"/>
    <x v="1"/>
  </r>
  <r>
    <x v="212"/>
    <x v="206"/>
    <x v="0"/>
    <d v="2024-09-25T00:00:00"/>
    <x v="1"/>
    <x v="0"/>
    <x v="2"/>
    <s v="Yes"/>
    <n v="30"/>
    <x v="0"/>
    <n v="20"/>
    <n v="20"/>
    <x v="8"/>
  </r>
  <r>
    <x v="213"/>
    <x v="207"/>
    <x v="2"/>
    <d v="2024-09-26T00:00:00"/>
    <x v="0"/>
    <x v="2"/>
    <x v="2"/>
    <s v="No"/>
    <s v="-"/>
    <x v="0"/>
    <n v="20"/>
    <n v="12"/>
    <x v="10"/>
  </r>
  <r>
    <x v="214"/>
    <x v="37"/>
    <x v="1"/>
    <d v="2024-09-27T00:00:00"/>
    <x v="1"/>
    <x v="1"/>
    <x v="0"/>
    <s v="No"/>
    <s v="-"/>
    <x v="1"/>
    <n v="0"/>
    <n v="2"/>
    <x v="11"/>
  </r>
  <r>
    <x v="215"/>
    <x v="208"/>
    <x v="0"/>
    <d v="2024-09-28T00:00:00"/>
    <x v="0"/>
    <x v="0"/>
    <x v="1"/>
    <s v="Yes"/>
    <n v="30"/>
    <x v="0"/>
    <n v="20"/>
    <n v="5"/>
    <x v="0"/>
  </r>
  <r>
    <x v="216"/>
    <x v="209"/>
    <x v="2"/>
    <d v="2024-09-29T00:00:00"/>
    <x v="1"/>
    <x v="2"/>
    <x v="0"/>
    <s v="No"/>
    <s v="-"/>
    <x v="0"/>
    <n v="20"/>
    <n v="10"/>
    <x v="2"/>
  </r>
  <r>
    <x v="217"/>
    <x v="210"/>
    <x v="1"/>
    <d v="2024-09-30T00:00:00"/>
    <x v="0"/>
    <x v="1"/>
    <x v="2"/>
    <s v="No"/>
    <s v="-"/>
    <x v="1"/>
    <n v="0"/>
    <n v="0"/>
    <x v="1"/>
  </r>
  <r>
    <x v="218"/>
    <x v="211"/>
    <x v="0"/>
    <d v="2024-10-01T00:00:00"/>
    <x v="1"/>
    <x v="0"/>
    <x v="0"/>
    <s v="Yes"/>
    <n v="30"/>
    <x v="0"/>
    <n v="20"/>
    <n v="3"/>
    <x v="3"/>
  </r>
  <r>
    <x v="219"/>
    <x v="212"/>
    <x v="2"/>
    <d v="2024-10-02T00:00:00"/>
    <x v="0"/>
    <x v="2"/>
    <x v="1"/>
    <s v="No"/>
    <s v="-"/>
    <x v="0"/>
    <n v="20"/>
    <n v="15"/>
    <x v="7"/>
  </r>
  <r>
    <x v="220"/>
    <x v="213"/>
    <x v="1"/>
    <d v="2024-10-03T00:00:00"/>
    <x v="1"/>
    <x v="1"/>
    <x v="0"/>
    <s v="No"/>
    <s v="-"/>
    <x v="1"/>
    <n v="0"/>
    <n v="1"/>
    <x v="4"/>
  </r>
  <r>
    <x v="221"/>
    <x v="191"/>
    <x v="0"/>
    <d v="2024-10-04T00:00:00"/>
    <x v="0"/>
    <x v="0"/>
    <x v="2"/>
    <s v="Yes"/>
    <n v="30"/>
    <x v="0"/>
    <n v="20"/>
    <n v="7"/>
    <x v="12"/>
  </r>
  <r>
    <x v="222"/>
    <x v="45"/>
    <x v="2"/>
    <d v="2024-10-05T00:00:00"/>
    <x v="1"/>
    <x v="2"/>
    <x v="0"/>
    <s v="No"/>
    <s v="-"/>
    <x v="0"/>
    <n v="20"/>
    <n v="10"/>
    <x v="2"/>
  </r>
  <r>
    <x v="223"/>
    <x v="214"/>
    <x v="1"/>
    <d v="2024-10-06T00:00:00"/>
    <x v="0"/>
    <x v="1"/>
    <x v="1"/>
    <s v="No"/>
    <s v="-"/>
    <x v="1"/>
    <n v="0"/>
    <n v="0"/>
    <x v="1"/>
  </r>
  <r>
    <x v="224"/>
    <x v="215"/>
    <x v="0"/>
    <d v="2024-10-07T00:00:00"/>
    <x v="1"/>
    <x v="0"/>
    <x v="0"/>
    <s v="Yes"/>
    <n v="30"/>
    <x v="0"/>
    <n v="20"/>
    <n v="20"/>
    <x v="8"/>
  </r>
  <r>
    <x v="225"/>
    <x v="216"/>
    <x v="2"/>
    <d v="2024-10-08T00:00:00"/>
    <x v="0"/>
    <x v="2"/>
    <x v="2"/>
    <s v="No"/>
    <s v="-"/>
    <x v="0"/>
    <n v="20"/>
    <n v="15"/>
    <x v="7"/>
  </r>
  <r>
    <x v="226"/>
    <x v="217"/>
    <x v="1"/>
    <d v="2024-10-09T00:00:00"/>
    <x v="1"/>
    <x v="1"/>
    <x v="0"/>
    <s v="No"/>
    <s v="-"/>
    <x v="1"/>
    <n v="0"/>
    <n v="1"/>
    <x v="4"/>
  </r>
  <r>
    <x v="227"/>
    <x v="218"/>
    <x v="0"/>
    <d v="2024-10-10T00:00:00"/>
    <x v="0"/>
    <x v="0"/>
    <x v="1"/>
    <s v="Yes"/>
    <n v="30"/>
    <x v="0"/>
    <n v="20"/>
    <n v="3"/>
    <x v="3"/>
  </r>
  <r>
    <x v="228"/>
    <x v="219"/>
    <x v="2"/>
    <d v="2024-10-11T00:00:00"/>
    <x v="1"/>
    <x v="2"/>
    <x v="0"/>
    <s v="No"/>
    <s v="-"/>
    <x v="0"/>
    <n v="20"/>
    <n v="10"/>
    <x v="2"/>
  </r>
  <r>
    <x v="229"/>
    <x v="127"/>
    <x v="1"/>
    <d v="2024-10-12T00:00:00"/>
    <x v="0"/>
    <x v="1"/>
    <x v="2"/>
    <s v="No"/>
    <s v="-"/>
    <x v="1"/>
    <n v="0"/>
    <n v="0"/>
    <x v="1"/>
  </r>
  <r>
    <x v="230"/>
    <x v="220"/>
    <x v="0"/>
    <d v="2024-10-13T00:00:00"/>
    <x v="1"/>
    <x v="0"/>
    <x v="0"/>
    <s v="Yes"/>
    <n v="30"/>
    <x v="0"/>
    <n v="20"/>
    <n v="15"/>
    <x v="14"/>
  </r>
  <r>
    <x v="231"/>
    <x v="221"/>
    <x v="2"/>
    <d v="2024-10-14T00:00:00"/>
    <x v="0"/>
    <x v="2"/>
    <x v="1"/>
    <s v="No"/>
    <s v="-"/>
    <x v="0"/>
    <n v="20"/>
    <n v="15"/>
    <x v="7"/>
  </r>
  <r>
    <x v="232"/>
    <x v="222"/>
    <x v="1"/>
    <d v="2024-10-15T00:00:00"/>
    <x v="1"/>
    <x v="1"/>
    <x v="0"/>
    <s v="No"/>
    <s v="-"/>
    <x v="1"/>
    <n v="0"/>
    <n v="1"/>
    <x v="4"/>
  </r>
  <r>
    <x v="233"/>
    <x v="223"/>
    <x v="0"/>
    <d v="2024-10-16T00:00:00"/>
    <x v="0"/>
    <x v="0"/>
    <x v="2"/>
    <s v="Yes"/>
    <n v="30"/>
    <x v="0"/>
    <n v="20"/>
    <n v="7"/>
    <x v="12"/>
  </r>
  <r>
    <x v="234"/>
    <x v="224"/>
    <x v="2"/>
    <d v="2024-10-17T00:00:00"/>
    <x v="1"/>
    <x v="2"/>
    <x v="0"/>
    <s v="No"/>
    <s v="-"/>
    <x v="0"/>
    <n v="20"/>
    <n v="10"/>
    <x v="2"/>
  </r>
  <r>
    <x v="235"/>
    <x v="225"/>
    <x v="1"/>
    <d v="2024-10-18T00:00:00"/>
    <x v="0"/>
    <x v="1"/>
    <x v="1"/>
    <s v="No"/>
    <s v="-"/>
    <x v="1"/>
    <n v="0"/>
    <n v="0"/>
    <x v="1"/>
  </r>
  <r>
    <x v="236"/>
    <x v="226"/>
    <x v="0"/>
    <d v="2024-10-19T00:00:00"/>
    <x v="1"/>
    <x v="0"/>
    <x v="0"/>
    <s v="Yes"/>
    <n v="30"/>
    <x v="0"/>
    <n v="20"/>
    <n v="15"/>
    <x v="14"/>
  </r>
  <r>
    <x v="237"/>
    <x v="227"/>
    <x v="2"/>
    <d v="2024-10-20T00:00:00"/>
    <x v="0"/>
    <x v="2"/>
    <x v="2"/>
    <s v="No"/>
    <s v="-"/>
    <x v="0"/>
    <n v="20"/>
    <n v="12"/>
    <x v="10"/>
  </r>
  <r>
    <x v="238"/>
    <x v="228"/>
    <x v="1"/>
    <d v="2024-10-21T00:00:00"/>
    <x v="1"/>
    <x v="1"/>
    <x v="0"/>
    <s v="No"/>
    <s v="-"/>
    <x v="1"/>
    <n v="0"/>
    <n v="2"/>
    <x v="11"/>
  </r>
  <r>
    <x v="239"/>
    <x v="229"/>
    <x v="0"/>
    <d v="2024-10-22T00:00:00"/>
    <x v="0"/>
    <x v="0"/>
    <x v="1"/>
    <s v="Yes"/>
    <n v="30"/>
    <x v="0"/>
    <n v="20"/>
    <n v="5"/>
    <x v="0"/>
  </r>
  <r>
    <x v="240"/>
    <x v="230"/>
    <x v="2"/>
    <d v="2024-10-23T00:00:00"/>
    <x v="1"/>
    <x v="2"/>
    <x v="0"/>
    <s v="No"/>
    <s v="-"/>
    <x v="0"/>
    <n v="20"/>
    <n v="10"/>
    <x v="2"/>
  </r>
  <r>
    <x v="241"/>
    <x v="231"/>
    <x v="1"/>
    <d v="2024-10-24T00:00:00"/>
    <x v="0"/>
    <x v="1"/>
    <x v="2"/>
    <s v="No"/>
    <s v="-"/>
    <x v="1"/>
    <n v="0"/>
    <n v="0"/>
    <x v="1"/>
  </r>
  <r>
    <x v="242"/>
    <x v="140"/>
    <x v="0"/>
    <d v="2024-10-25T00:00:00"/>
    <x v="1"/>
    <x v="0"/>
    <x v="0"/>
    <s v="Yes"/>
    <n v="30"/>
    <x v="0"/>
    <n v="20"/>
    <n v="3"/>
    <x v="3"/>
  </r>
  <r>
    <x v="243"/>
    <x v="232"/>
    <x v="2"/>
    <d v="2024-10-26T00:00:00"/>
    <x v="0"/>
    <x v="2"/>
    <x v="1"/>
    <s v="No"/>
    <s v="-"/>
    <x v="0"/>
    <n v="20"/>
    <n v="15"/>
    <x v="7"/>
  </r>
  <r>
    <x v="244"/>
    <x v="233"/>
    <x v="1"/>
    <d v="2024-10-27T00:00:00"/>
    <x v="1"/>
    <x v="1"/>
    <x v="0"/>
    <s v="No"/>
    <s v="-"/>
    <x v="1"/>
    <n v="0"/>
    <n v="1"/>
    <x v="4"/>
  </r>
  <r>
    <x v="245"/>
    <x v="234"/>
    <x v="0"/>
    <d v="2024-10-28T00:00:00"/>
    <x v="0"/>
    <x v="0"/>
    <x v="2"/>
    <s v="Yes"/>
    <n v="30"/>
    <x v="0"/>
    <n v="20"/>
    <n v="7"/>
    <x v="12"/>
  </r>
  <r>
    <x v="246"/>
    <x v="235"/>
    <x v="2"/>
    <d v="2024-10-29T00:00:00"/>
    <x v="1"/>
    <x v="2"/>
    <x v="0"/>
    <s v="No"/>
    <s v="-"/>
    <x v="0"/>
    <n v="20"/>
    <n v="10"/>
    <x v="2"/>
  </r>
  <r>
    <x v="247"/>
    <x v="236"/>
    <x v="1"/>
    <d v="2024-10-30T00:00:00"/>
    <x v="0"/>
    <x v="1"/>
    <x v="1"/>
    <s v="No"/>
    <s v="-"/>
    <x v="1"/>
    <n v="0"/>
    <n v="0"/>
    <x v="1"/>
  </r>
  <r>
    <x v="248"/>
    <x v="237"/>
    <x v="0"/>
    <d v="2024-10-31T00:00:00"/>
    <x v="1"/>
    <x v="0"/>
    <x v="0"/>
    <s v="Yes"/>
    <n v="30"/>
    <x v="0"/>
    <n v="20"/>
    <n v="20"/>
    <x v="8"/>
  </r>
  <r>
    <x v="249"/>
    <x v="238"/>
    <x v="2"/>
    <d v="2024-11-01T00:00:00"/>
    <x v="0"/>
    <x v="2"/>
    <x v="2"/>
    <s v="No"/>
    <s v="-"/>
    <x v="0"/>
    <n v="20"/>
    <n v="15"/>
    <x v="7"/>
  </r>
  <r>
    <x v="250"/>
    <x v="239"/>
    <x v="1"/>
    <d v="2024-11-02T00:00:00"/>
    <x v="1"/>
    <x v="1"/>
    <x v="0"/>
    <s v="No"/>
    <s v="-"/>
    <x v="1"/>
    <n v="0"/>
    <n v="1"/>
    <x v="4"/>
  </r>
  <r>
    <x v="251"/>
    <x v="240"/>
    <x v="0"/>
    <d v="2024-11-03T00:00:00"/>
    <x v="0"/>
    <x v="0"/>
    <x v="1"/>
    <s v="Yes"/>
    <n v="30"/>
    <x v="0"/>
    <n v="20"/>
    <n v="3"/>
    <x v="3"/>
  </r>
  <r>
    <x v="252"/>
    <x v="241"/>
    <x v="2"/>
    <d v="2024-11-04T00:00:00"/>
    <x v="1"/>
    <x v="2"/>
    <x v="0"/>
    <s v="No"/>
    <s v="-"/>
    <x v="0"/>
    <n v="20"/>
    <n v="10"/>
    <x v="2"/>
  </r>
  <r>
    <x v="253"/>
    <x v="242"/>
    <x v="1"/>
    <d v="2024-11-05T00:00:00"/>
    <x v="0"/>
    <x v="1"/>
    <x v="2"/>
    <s v="No"/>
    <s v="-"/>
    <x v="1"/>
    <n v="0"/>
    <n v="0"/>
    <x v="1"/>
  </r>
  <r>
    <x v="254"/>
    <x v="243"/>
    <x v="0"/>
    <d v="2024-11-06T00:00:00"/>
    <x v="1"/>
    <x v="0"/>
    <x v="0"/>
    <s v="Yes"/>
    <n v="30"/>
    <x v="0"/>
    <n v="20"/>
    <n v="15"/>
    <x v="14"/>
  </r>
  <r>
    <x v="255"/>
    <x v="244"/>
    <x v="1"/>
    <d v="2024-11-07T00:00:00"/>
    <x v="0"/>
    <x v="1"/>
    <x v="0"/>
    <s v="No"/>
    <s v="-"/>
    <x v="1"/>
    <n v="0"/>
    <n v="0"/>
    <x v="1"/>
  </r>
  <r>
    <x v="256"/>
    <x v="245"/>
    <x v="0"/>
    <d v="2024-11-08T00:00:00"/>
    <x v="1"/>
    <x v="0"/>
    <x v="2"/>
    <s v="Yes"/>
    <n v="30"/>
    <x v="0"/>
    <n v="20"/>
    <n v="7"/>
    <x v="12"/>
  </r>
  <r>
    <x v="257"/>
    <x v="246"/>
    <x v="2"/>
    <d v="2024-11-09T00:00:00"/>
    <x v="0"/>
    <x v="2"/>
    <x v="1"/>
    <s v="No"/>
    <s v="-"/>
    <x v="0"/>
    <n v="20"/>
    <n v="10"/>
    <x v="2"/>
  </r>
  <r>
    <x v="258"/>
    <x v="247"/>
    <x v="1"/>
    <d v="2024-11-10T00:00:00"/>
    <x v="1"/>
    <x v="1"/>
    <x v="2"/>
    <s v="No"/>
    <s v="-"/>
    <x v="1"/>
    <n v="0"/>
    <n v="1"/>
    <x v="4"/>
  </r>
  <r>
    <x v="259"/>
    <x v="248"/>
    <x v="0"/>
    <d v="2024-11-11T00:00:00"/>
    <x v="0"/>
    <x v="0"/>
    <x v="0"/>
    <s v="Yes"/>
    <n v="30"/>
    <x v="0"/>
    <n v="20"/>
    <n v="15"/>
    <x v="14"/>
  </r>
  <r>
    <x v="260"/>
    <x v="249"/>
    <x v="2"/>
    <d v="2024-11-12T00:00:00"/>
    <x v="1"/>
    <x v="2"/>
    <x v="0"/>
    <s v="No"/>
    <s v="-"/>
    <x v="0"/>
    <n v="20"/>
    <n v="5"/>
    <x v="13"/>
  </r>
  <r>
    <x v="261"/>
    <x v="250"/>
    <x v="1"/>
    <d v="2024-11-13T00:00:00"/>
    <x v="0"/>
    <x v="1"/>
    <x v="1"/>
    <s v="No"/>
    <s v="-"/>
    <x v="1"/>
    <n v="0"/>
    <n v="0"/>
    <x v="1"/>
  </r>
  <r>
    <x v="262"/>
    <x v="251"/>
    <x v="0"/>
    <d v="2024-11-14T00:00:00"/>
    <x v="1"/>
    <x v="0"/>
    <x v="2"/>
    <s v="Yes"/>
    <n v="30"/>
    <x v="0"/>
    <n v="20"/>
    <n v="20"/>
    <x v="8"/>
  </r>
  <r>
    <x v="263"/>
    <x v="252"/>
    <x v="2"/>
    <d v="2024-11-15T00:00:00"/>
    <x v="0"/>
    <x v="2"/>
    <x v="2"/>
    <s v="No"/>
    <s v="-"/>
    <x v="0"/>
    <n v="20"/>
    <n v="12"/>
    <x v="10"/>
  </r>
  <r>
    <x v="264"/>
    <x v="253"/>
    <x v="1"/>
    <d v="2024-11-16T00:00:00"/>
    <x v="1"/>
    <x v="1"/>
    <x v="0"/>
    <s v="No"/>
    <s v="-"/>
    <x v="1"/>
    <n v="0"/>
    <n v="2"/>
    <x v="11"/>
  </r>
  <r>
    <x v="265"/>
    <x v="254"/>
    <x v="0"/>
    <d v="2024-11-17T00:00:00"/>
    <x v="0"/>
    <x v="0"/>
    <x v="1"/>
    <s v="Yes"/>
    <n v="30"/>
    <x v="0"/>
    <n v="20"/>
    <n v="5"/>
    <x v="0"/>
  </r>
  <r>
    <x v="266"/>
    <x v="255"/>
    <x v="2"/>
    <d v="2024-11-18T00:00:00"/>
    <x v="1"/>
    <x v="2"/>
    <x v="0"/>
    <s v="No"/>
    <s v="-"/>
    <x v="0"/>
    <n v="20"/>
    <n v="10"/>
    <x v="2"/>
  </r>
  <r>
    <x v="267"/>
    <x v="256"/>
    <x v="1"/>
    <d v="2024-11-19T00:00:00"/>
    <x v="0"/>
    <x v="1"/>
    <x v="2"/>
    <s v="No"/>
    <s v="-"/>
    <x v="1"/>
    <n v="0"/>
    <n v="0"/>
    <x v="1"/>
  </r>
  <r>
    <x v="268"/>
    <x v="257"/>
    <x v="0"/>
    <d v="2024-11-20T00:00:00"/>
    <x v="1"/>
    <x v="0"/>
    <x v="0"/>
    <s v="Yes"/>
    <n v="30"/>
    <x v="0"/>
    <n v="20"/>
    <n v="3"/>
    <x v="3"/>
  </r>
  <r>
    <x v="269"/>
    <x v="258"/>
    <x v="2"/>
    <d v="2024-11-21T00:00:00"/>
    <x v="0"/>
    <x v="2"/>
    <x v="1"/>
    <s v="No"/>
    <s v="-"/>
    <x v="0"/>
    <n v="20"/>
    <n v="15"/>
    <x v="7"/>
  </r>
  <r>
    <x v="270"/>
    <x v="259"/>
    <x v="1"/>
    <d v="2024-11-22T00:00:00"/>
    <x v="1"/>
    <x v="1"/>
    <x v="0"/>
    <s v="No"/>
    <s v="-"/>
    <x v="1"/>
    <n v="0"/>
    <n v="1"/>
    <x v="4"/>
  </r>
  <r>
    <x v="271"/>
    <x v="260"/>
    <x v="0"/>
    <d v="2024-11-23T00:00:00"/>
    <x v="0"/>
    <x v="0"/>
    <x v="2"/>
    <s v="Yes"/>
    <n v="30"/>
    <x v="0"/>
    <n v="20"/>
    <n v="7"/>
    <x v="12"/>
  </r>
  <r>
    <x v="272"/>
    <x v="119"/>
    <x v="2"/>
    <d v="2024-11-24T00:00:00"/>
    <x v="1"/>
    <x v="2"/>
    <x v="0"/>
    <s v="No"/>
    <s v="-"/>
    <x v="0"/>
    <n v="20"/>
    <n v="10"/>
    <x v="2"/>
  </r>
  <r>
    <x v="273"/>
    <x v="261"/>
    <x v="1"/>
    <d v="2024-11-25T00:00:00"/>
    <x v="0"/>
    <x v="1"/>
    <x v="1"/>
    <s v="No"/>
    <s v="-"/>
    <x v="1"/>
    <n v="0"/>
    <n v="0"/>
    <x v="1"/>
  </r>
  <r>
    <x v="274"/>
    <x v="262"/>
    <x v="0"/>
    <d v="2024-11-26T00:00:00"/>
    <x v="1"/>
    <x v="0"/>
    <x v="0"/>
    <s v="Yes"/>
    <n v="30"/>
    <x v="0"/>
    <n v="20"/>
    <n v="20"/>
    <x v="8"/>
  </r>
  <r>
    <x v="275"/>
    <x v="263"/>
    <x v="2"/>
    <d v="2024-11-27T00:00:00"/>
    <x v="0"/>
    <x v="2"/>
    <x v="2"/>
    <s v="No"/>
    <s v="-"/>
    <x v="0"/>
    <n v="20"/>
    <n v="15"/>
    <x v="7"/>
  </r>
  <r>
    <x v="276"/>
    <x v="264"/>
    <x v="1"/>
    <d v="2024-11-28T00:00:00"/>
    <x v="1"/>
    <x v="1"/>
    <x v="0"/>
    <s v="No"/>
    <s v="-"/>
    <x v="1"/>
    <n v="0"/>
    <n v="1"/>
    <x v="4"/>
  </r>
  <r>
    <x v="277"/>
    <x v="265"/>
    <x v="0"/>
    <d v="2024-11-29T00:00:00"/>
    <x v="0"/>
    <x v="0"/>
    <x v="1"/>
    <s v="Yes"/>
    <n v="30"/>
    <x v="0"/>
    <n v="20"/>
    <n v="3"/>
    <x v="3"/>
  </r>
  <r>
    <x v="278"/>
    <x v="266"/>
    <x v="2"/>
    <d v="2024-11-30T00:00:00"/>
    <x v="1"/>
    <x v="2"/>
    <x v="0"/>
    <s v="No"/>
    <s v="-"/>
    <x v="0"/>
    <n v="20"/>
    <n v="10"/>
    <x v="2"/>
  </r>
  <r>
    <x v="279"/>
    <x v="267"/>
    <x v="1"/>
    <d v="2024-12-01T00:00:00"/>
    <x v="0"/>
    <x v="1"/>
    <x v="2"/>
    <s v="No"/>
    <s v="-"/>
    <x v="1"/>
    <n v="0"/>
    <n v="0"/>
    <x v="1"/>
  </r>
  <r>
    <x v="280"/>
    <x v="268"/>
    <x v="0"/>
    <d v="2024-12-02T00:00:00"/>
    <x v="1"/>
    <x v="0"/>
    <x v="0"/>
    <s v="Yes"/>
    <n v="30"/>
    <x v="0"/>
    <n v="20"/>
    <n v="15"/>
    <x v="14"/>
  </r>
  <r>
    <x v="281"/>
    <x v="269"/>
    <x v="2"/>
    <d v="2024-12-03T00:00:00"/>
    <x v="0"/>
    <x v="2"/>
    <x v="1"/>
    <s v="No"/>
    <s v="-"/>
    <x v="0"/>
    <n v="20"/>
    <n v="15"/>
    <x v="7"/>
  </r>
  <r>
    <x v="282"/>
    <x v="270"/>
    <x v="1"/>
    <d v="2024-12-04T00:00:00"/>
    <x v="1"/>
    <x v="1"/>
    <x v="0"/>
    <s v="No"/>
    <s v="-"/>
    <x v="1"/>
    <n v="0"/>
    <n v="1"/>
    <x v="4"/>
  </r>
  <r>
    <x v="283"/>
    <x v="271"/>
    <x v="0"/>
    <d v="2024-12-05T00:00:00"/>
    <x v="0"/>
    <x v="0"/>
    <x v="2"/>
    <s v="Yes"/>
    <n v="30"/>
    <x v="0"/>
    <n v="20"/>
    <n v="7"/>
    <x v="12"/>
  </r>
  <r>
    <x v="284"/>
    <x v="130"/>
    <x v="2"/>
    <d v="2024-12-06T00:00:00"/>
    <x v="1"/>
    <x v="2"/>
    <x v="0"/>
    <s v="No"/>
    <s v="-"/>
    <x v="0"/>
    <n v="20"/>
    <n v="10"/>
    <x v="2"/>
  </r>
  <r>
    <x v="285"/>
    <x v="131"/>
    <x v="1"/>
    <d v="2024-12-07T00:00:00"/>
    <x v="0"/>
    <x v="1"/>
    <x v="1"/>
    <s v="No"/>
    <s v="-"/>
    <x v="1"/>
    <n v="0"/>
    <n v="0"/>
    <x v="1"/>
  </r>
  <r>
    <x v="286"/>
    <x v="181"/>
    <x v="0"/>
    <d v="2024-12-08T00:00:00"/>
    <x v="1"/>
    <x v="0"/>
    <x v="0"/>
    <s v="Yes"/>
    <n v="30"/>
    <x v="0"/>
    <n v="20"/>
    <n v="20"/>
    <x v="8"/>
  </r>
  <r>
    <x v="287"/>
    <x v="272"/>
    <x v="2"/>
    <d v="2024-12-09T00:00:00"/>
    <x v="0"/>
    <x v="2"/>
    <x v="2"/>
    <s v="No"/>
    <s v="-"/>
    <x v="0"/>
    <n v="20"/>
    <n v="12"/>
    <x v="10"/>
  </r>
  <r>
    <x v="288"/>
    <x v="273"/>
    <x v="1"/>
    <d v="2024-12-10T00:00:00"/>
    <x v="1"/>
    <x v="1"/>
    <x v="0"/>
    <s v="No"/>
    <s v="-"/>
    <x v="1"/>
    <n v="0"/>
    <n v="2"/>
    <x v="11"/>
  </r>
  <r>
    <x v="289"/>
    <x v="274"/>
    <x v="0"/>
    <d v="2024-12-11T00:00:00"/>
    <x v="0"/>
    <x v="0"/>
    <x v="1"/>
    <s v="Yes"/>
    <n v="30"/>
    <x v="0"/>
    <n v="20"/>
    <n v="5"/>
    <x v="0"/>
  </r>
  <r>
    <x v="290"/>
    <x v="275"/>
    <x v="2"/>
    <d v="2024-12-12T00:00:00"/>
    <x v="1"/>
    <x v="2"/>
    <x v="0"/>
    <s v="No"/>
    <s v="-"/>
    <x v="0"/>
    <n v="20"/>
    <n v="10"/>
    <x v="2"/>
  </r>
  <r>
    <x v="291"/>
    <x v="276"/>
    <x v="1"/>
    <d v="2024-12-13T00:00:00"/>
    <x v="0"/>
    <x v="1"/>
    <x v="2"/>
    <s v="No"/>
    <s v="-"/>
    <x v="1"/>
    <n v="0"/>
    <n v="0"/>
    <x v="1"/>
  </r>
  <r>
    <x v="292"/>
    <x v="277"/>
    <x v="0"/>
    <d v="2024-12-14T00:00:00"/>
    <x v="1"/>
    <x v="0"/>
    <x v="0"/>
    <s v="Yes"/>
    <n v="30"/>
    <x v="0"/>
    <n v="20"/>
    <n v="3"/>
    <x v="3"/>
  </r>
  <r>
    <x v="293"/>
    <x v="278"/>
    <x v="2"/>
    <d v="2024-12-15T00:00:00"/>
    <x v="0"/>
    <x v="2"/>
    <x v="1"/>
    <s v="No"/>
    <s v="-"/>
    <x v="0"/>
    <n v="20"/>
    <n v="15"/>
    <x v="7"/>
  </r>
  <r>
    <x v="294"/>
    <x v="279"/>
    <x v="1"/>
    <d v="2024-12-16T00:00:00"/>
    <x v="1"/>
    <x v="1"/>
    <x v="0"/>
    <s v="No"/>
    <s v="-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C5D04-D94A-45BF-966C-2604B365EDDE}" name="tbl_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4AEF4-8DCD-4D98-ADC0-3074416058FD}" name="tbl_a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2:C15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/>
  </dataFields>
  <formats count="3">
    <format dxfId="3">
      <pivotArea grandRow="1" outline="0" collapsedLevelsAreSubtotals="1" fieldPosition="0"/>
    </format>
    <format dxfId="2">
      <pivotArea collapsedLevelsAreSubtotals="1" fieldPosition="0">
        <references count="1">
          <reference field="4" count="1">
            <x v="0"/>
          </reference>
        </references>
      </pivotArea>
    </format>
    <format dxfId="1">
      <pivotArea collapsedLevelsAreSubtotals="1" fieldPosition="0">
        <references count="1">
          <reference field="4" count="1">
            <x v="1"/>
          </reference>
        </references>
      </pivotArea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EE99E-7E54-4A75-A58B-9A724567025D}" name="Tabela dinâ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5:C3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2" baseItem="0"/>
  </dataFields>
  <formats count="1">
    <format dxfId="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73F226A-177B-4F6B-84E7-3F3285AB488D}" sourceName="Subscription Type">
  <pivotTables>
    <pivotTable tabId="3" name="tbl_anual_total"/>
    <pivotTable tabId="3" name="tbl_easonpass_total"/>
    <pivotTable tabId="3" name="Tabela dinâmica3"/>
  </pivotTables>
  <data>
    <tabular pivotCacheId="119741435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B5CC21F-CA0D-47D6-9B1B-44D7FB8CA58D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8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7"/>
    <tableColumn id="2" xr3:uid="{53DD39D0-2220-4121-9E9D-4EAA7E151C0F}" name="Name" dataDxfId="16"/>
    <tableColumn id="3" xr3:uid="{4F5FF271-4C57-4BE0-8F2C-F82C8551625C}" name="Plan" dataDxfId="15"/>
    <tableColumn id="4" xr3:uid="{8C17EB93-79B9-4E55-B8F7-BEB82F8253E9}" name="Start Date" dataDxfId="14"/>
    <tableColumn id="5" xr3:uid="{48CEDF9B-1689-482A-A828-5CCE7713264A}" name="Auto Renewal" dataDxfId="13"/>
    <tableColumn id="6" xr3:uid="{78B82374-9AA7-4E38-AE4F-78CDE6C83720}" name="Subscription Price" dataDxfId="12" dataCellStyle="Moeda"/>
    <tableColumn id="7" xr3:uid="{F2433F68-AF33-49D0-B1FB-19A396074EDE}" name="Subscription Type" dataDxfId="11"/>
    <tableColumn id="8" xr3:uid="{FD4D9C95-F6E5-4933-9068-A71FF7DF9343}" name="EA Play Season Pass" dataDxfId="10"/>
    <tableColumn id="13" xr3:uid="{978DD0D2-834E-4CE4-A39B-30976086932F}" name="EA Play Season Pass_x000a_Price" dataDxfId="9" dataCellStyle="Moeda"/>
    <tableColumn id="9" xr3:uid="{6E29F111-C395-4580-9DAD-3407D9E8B1A4}" name="Minecraft Season Pass" dataDxfId="8"/>
    <tableColumn id="10" xr3:uid="{EF544EAA-7F25-4FD5-A10E-8E62804DB9E3}" name="Minecraft Season Pass Price" dataDxfId="7" dataCellStyle="Moeda"/>
    <tableColumn id="11" xr3:uid="{7F6EB64A-1F07-4E48-9F0F-AC7D9DCD26F8}" name="Coupon Value" dataDxfId="6" dataCellStyle="Moeda"/>
    <tableColumn id="12" xr3:uid="{2B04ABC8-DE6F-426E-ADC0-D8AFC68CA58E}" name="Total Value" dataDxfId="5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5" zoomScaleNormal="100" workbookViewId="0">
      <selection activeCell="C49" sqref="C4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C49" sqref="C4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style="16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15" t="s">
        <v>312</v>
      </c>
      <c r="G1" s="9" t="s">
        <v>16</v>
      </c>
      <c r="H1" s="9" t="s">
        <v>309</v>
      </c>
      <c r="I1" s="15" t="s">
        <v>310</v>
      </c>
      <c r="J1" s="9" t="s">
        <v>30</v>
      </c>
      <c r="K1" s="15" t="s">
        <v>31</v>
      </c>
      <c r="L1" s="15" t="s">
        <v>32</v>
      </c>
      <c r="M1" s="15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41"/>
  <sheetViews>
    <sheetView showGridLines="0" topLeftCell="A21" workbookViewId="0">
      <selection activeCell="C49" sqref="C49"/>
    </sheetView>
  </sheetViews>
  <sheetFormatPr defaultRowHeight="14.25"/>
  <cols>
    <col min="2" max="2" width="18" bestFit="1" customWidth="1"/>
    <col min="3" max="3" width="35.125" style="16" bestFit="1" customWidth="1"/>
    <col min="4" max="4" width="30.625" bestFit="1" customWidth="1"/>
    <col min="5" max="5" width="6.25" style="16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313</v>
      </c>
    </row>
    <row r="5" spans="2:3" ht="15">
      <c r="B5" t="s">
        <v>317</v>
      </c>
    </row>
    <row r="6" spans="2:3" ht="15">
      <c r="B6" t="s">
        <v>318</v>
      </c>
    </row>
    <row r="12" spans="2:3">
      <c r="B12" s="12" t="s">
        <v>314</v>
      </c>
      <c r="C12" t="s">
        <v>316</v>
      </c>
    </row>
    <row r="13" spans="2:3">
      <c r="B13" s="13" t="s">
        <v>23</v>
      </c>
      <c r="C13" s="20">
        <v>217</v>
      </c>
    </row>
    <row r="14" spans="2:3">
      <c r="B14" s="13" t="s">
        <v>19</v>
      </c>
      <c r="C14" s="20">
        <v>1537</v>
      </c>
    </row>
    <row r="15" spans="2:3">
      <c r="B15" s="13" t="s">
        <v>315</v>
      </c>
      <c r="C15" s="20">
        <v>1754</v>
      </c>
    </row>
    <row r="19" spans="2:5" ht="15">
      <c r="B19" t="s">
        <v>320</v>
      </c>
    </row>
    <row r="21" spans="2:5">
      <c r="B21" s="12" t="s">
        <v>16</v>
      </c>
      <c r="C21" t="s">
        <v>24</v>
      </c>
    </row>
    <row r="23" spans="2:5">
      <c r="B23" s="12" t="s">
        <v>314</v>
      </c>
      <c r="C23" t="s">
        <v>321</v>
      </c>
    </row>
    <row r="24" spans="2:5">
      <c r="B24" s="13" t="s">
        <v>22</v>
      </c>
      <c r="C24" s="14">
        <v>0</v>
      </c>
    </row>
    <row r="25" spans="2:5">
      <c r="B25" s="13" t="s">
        <v>26</v>
      </c>
      <c r="C25" s="14">
        <v>0</v>
      </c>
    </row>
    <row r="26" spans="2:5">
      <c r="B26" s="13" t="s">
        <v>18</v>
      </c>
      <c r="C26" s="14">
        <v>600</v>
      </c>
    </row>
    <row r="27" spans="2:5">
      <c r="B27" s="13" t="s">
        <v>315</v>
      </c>
      <c r="C27" s="20">
        <v>600</v>
      </c>
      <c r="E27" s="16">
        <f>GETPIVOTDATA("EA Play Season Pass
Price",$B$23)</f>
        <v>600</v>
      </c>
    </row>
    <row r="31" spans="2:5" ht="15">
      <c r="B31" t="s">
        <v>322</v>
      </c>
    </row>
    <row r="33" spans="2:5">
      <c r="B33" s="12" t="s">
        <v>16</v>
      </c>
      <c r="C33" t="s">
        <v>24</v>
      </c>
    </row>
    <row r="35" spans="2:5">
      <c r="B35" s="12" t="s">
        <v>314</v>
      </c>
      <c r="C35" t="s">
        <v>323</v>
      </c>
    </row>
    <row r="36" spans="2:5">
      <c r="B36" s="13" t="s">
        <v>22</v>
      </c>
      <c r="C36" s="14">
        <v>0</v>
      </c>
    </row>
    <row r="37" spans="2:5">
      <c r="B37" s="13" t="s">
        <v>26</v>
      </c>
      <c r="C37" s="14">
        <v>540</v>
      </c>
    </row>
    <row r="38" spans="2:5">
      <c r="B38" s="13" t="s">
        <v>18</v>
      </c>
      <c r="C38" s="14">
        <v>400</v>
      </c>
    </row>
    <row r="39" spans="2:5">
      <c r="B39" s="13" t="s">
        <v>315</v>
      </c>
      <c r="C39" s="20">
        <v>940</v>
      </c>
      <c r="E39" s="16">
        <f>GETPIVOTDATA("Minecraft Season Pass Price",$B$35)</f>
        <v>940</v>
      </c>
    </row>
    <row r="45" spans="2:5">
      <c r="C45"/>
    </row>
    <row r="46" spans="2:5">
      <c r="C46"/>
    </row>
    <row r="47" spans="2:5">
      <c r="C47"/>
    </row>
    <row r="48" spans="2:5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</sheetData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138"/>
  <sheetViews>
    <sheetView showGridLines="0" showRowColHeaders="0" tabSelected="1" zoomScale="70" zoomScaleNormal="70" workbookViewId="0">
      <selection activeCell="V11" sqref="V11"/>
    </sheetView>
  </sheetViews>
  <sheetFormatPr defaultRowHeight="14.25"/>
  <cols>
    <col min="1" max="1" width="24" style="17" customWidth="1"/>
    <col min="2" max="2" width="3.625" customWidth="1"/>
    <col min="12" max="12" width="6.625" customWidth="1"/>
  </cols>
  <sheetData>
    <row r="2" spans="1:18" ht="24.75" thickBot="1">
      <c r="C2" s="21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20.25" customHeight="1" thickTop="1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8" s="7" customFormat="1" ht="12.75" customHeight="1">
      <c r="A4" s="17"/>
      <c r="C4" s="23" t="s">
        <v>325</v>
      </c>
    </row>
    <row r="5" spans="1:18" s="7" customFormat="1" ht="7.5" customHeight="1">
      <c r="A5" s="17"/>
    </row>
    <row r="6" spans="1:18" s="7" customFormat="1" ht="16.5" customHeight="1">
      <c r="A6" s="22" t="s">
        <v>324</v>
      </c>
    </row>
    <row r="7" spans="1:18" s="7" customFormat="1" ht="9.75" customHeight="1">
      <c r="A7" s="17"/>
    </row>
    <row r="8" spans="1:18" s="7" customFormat="1" ht="33" customHeight="1">
      <c r="A8" s="17"/>
    </row>
    <row r="9" spans="1:18" s="7" customFormat="1">
      <c r="A9" s="17"/>
    </row>
    <row r="10" spans="1:18" s="7" customFormat="1">
      <c r="A10" s="17"/>
    </row>
    <row r="11" spans="1:18" s="7" customFormat="1">
      <c r="A11" s="17"/>
    </row>
    <row r="12" spans="1:18" s="7" customFormat="1">
      <c r="A12" s="17"/>
    </row>
    <row r="13" spans="1:18" s="7" customFormat="1">
      <c r="A13" s="17"/>
    </row>
    <row r="14" spans="1:18" s="7" customFormat="1">
      <c r="A14" s="17"/>
    </row>
    <row r="15" spans="1:18" s="7" customFormat="1">
      <c r="A15" s="17"/>
    </row>
    <row r="16" spans="1:18" s="7" customFormat="1">
      <c r="A16" s="17"/>
    </row>
    <row r="17" spans="1:1" s="7" customFormat="1">
      <c r="A17" s="17"/>
    </row>
    <row r="18" spans="1:1" s="7" customFormat="1">
      <c r="A18" s="17"/>
    </row>
    <row r="19" spans="1:1" s="7" customFormat="1">
      <c r="A19" s="17"/>
    </row>
    <row r="20" spans="1:1" s="7" customFormat="1">
      <c r="A20" s="17"/>
    </row>
    <row r="21" spans="1:1" s="7" customFormat="1">
      <c r="A21" s="17"/>
    </row>
    <row r="22" spans="1:1" s="7" customFormat="1">
      <c r="A22" s="17"/>
    </row>
    <row r="23" spans="1:1" s="7" customFormat="1">
      <c r="A23" s="17"/>
    </row>
    <row r="24" spans="1:1" s="7" customFormat="1">
      <c r="A24" s="17"/>
    </row>
    <row r="25" spans="1:1" s="7" customFormat="1">
      <c r="A25" s="17"/>
    </row>
    <row r="26" spans="1:1" s="7" customFormat="1">
      <c r="A26" s="17"/>
    </row>
    <row r="27" spans="1:1" s="7" customFormat="1">
      <c r="A27" s="17"/>
    </row>
    <row r="28" spans="1:1" s="7" customFormat="1">
      <c r="A28" s="17"/>
    </row>
    <row r="29" spans="1:1" s="7" customFormat="1">
      <c r="A29" s="17"/>
    </row>
    <row r="30" spans="1:1" s="7" customFormat="1">
      <c r="A30" s="17"/>
    </row>
    <row r="31" spans="1:1" s="7" customFormat="1">
      <c r="A31" s="17"/>
    </row>
    <row r="32" spans="1:1" s="7" customFormat="1">
      <c r="A32" s="17"/>
    </row>
    <row r="33" spans="1:1" s="7" customFormat="1">
      <c r="A33" s="17"/>
    </row>
    <row r="34" spans="1:1" s="7" customFormat="1">
      <c r="A34" s="17"/>
    </row>
    <row r="35" spans="1:1" s="7" customFormat="1">
      <c r="A35" s="17"/>
    </row>
    <row r="36" spans="1:1" s="7" customFormat="1">
      <c r="A36" s="17"/>
    </row>
    <row r="37" spans="1:1" s="7" customFormat="1">
      <c r="A37" s="17"/>
    </row>
    <row r="38" spans="1:1" s="7" customFormat="1">
      <c r="A38" s="17"/>
    </row>
    <row r="39" spans="1:1" s="7" customFormat="1">
      <c r="A39" s="17"/>
    </row>
    <row r="40" spans="1:1" s="7" customFormat="1">
      <c r="A40" s="17"/>
    </row>
    <row r="41" spans="1:1" s="7" customFormat="1">
      <c r="A41" s="17"/>
    </row>
    <row r="42" spans="1:1" s="7" customFormat="1">
      <c r="A42" s="17"/>
    </row>
    <row r="43" spans="1:1" s="7" customFormat="1">
      <c r="A43" s="17"/>
    </row>
    <row r="44" spans="1:1" s="7" customFormat="1">
      <c r="A44" s="17"/>
    </row>
    <row r="45" spans="1:1" s="7" customFormat="1">
      <c r="A45" s="17"/>
    </row>
    <row r="46" spans="1:1" s="7" customFormat="1">
      <c r="A46" s="17"/>
    </row>
    <row r="47" spans="1:1" s="7" customFormat="1">
      <c r="A47" s="17"/>
    </row>
    <row r="48" spans="1:1" s="7" customFormat="1">
      <c r="A48" s="17"/>
    </row>
    <row r="49" spans="1:1" s="7" customFormat="1">
      <c r="A49" s="17"/>
    </row>
    <row r="50" spans="1:1" s="7" customFormat="1">
      <c r="A50" s="17"/>
    </row>
    <row r="51" spans="1:1" s="7" customFormat="1">
      <c r="A51" s="17"/>
    </row>
    <row r="52" spans="1:1" s="7" customFormat="1">
      <c r="A52" s="17"/>
    </row>
    <row r="53" spans="1:1" s="7" customFormat="1">
      <c r="A53" s="17"/>
    </row>
    <row r="54" spans="1:1" s="7" customFormat="1">
      <c r="A54" s="17"/>
    </row>
    <row r="55" spans="1:1" s="7" customFormat="1">
      <c r="A55" s="17"/>
    </row>
    <row r="56" spans="1:1" s="7" customFormat="1">
      <c r="A56" s="17"/>
    </row>
    <row r="57" spans="1:1" s="7" customFormat="1">
      <c r="A57" s="17"/>
    </row>
    <row r="58" spans="1:1" s="7" customFormat="1">
      <c r="A58" s="17"/>
    </row>
    <row r="59" spans="1:1" s="7" customFormat="1">
      <c r="A59" s="17"/>
    </row>
    <row r="60" spans="1:1" s="7" customFormat="1">
      <c r="A60" s="17"/>
    </row>
    <row r="61" spans="1:1" s="7" customFormat="1">
      <c r="A61" s="17"/>
    </row>
    <row r="62" spans="1:1" s="7" customFormat="1">
      <c r="A62" s="17"/>
    </row>
    <row r="63" spans="1:1" s="7" customFormat="1">
      <c r="A63" s="17"/>
    </row>
    <row r="64" spans="1:1" s="7" customFormat="1">
      <c r="A64" s="17"/>
    </row>
    <row r="65" spans="1:1" s="7" customFormat="1">
      <c r="A65" s="17"/>
    </row>
    <row r="66" spans="1:1" s="7" customFormat="1">
      <c r="A66" s="17"/>
    </row>
    <row r="67" spans="1:1" s="7" customFormat="1">
      <c r="A67" s="17"/>
    </row>
    <row r="68" spans="1:1" s="7" customFormat="1">
      <c r="A68" s="17"/>
    </row>
    <row r="69" spans="1:1" s="7" customFormat="1">
      <c r="A69" s="17"/>
    </row>
    <row r="70" spans="1:1" s="7" customFormat="1">
      <c r="A70" s="17"/>
    </row>
    <row r="71" spans="1:1" s="7" customFormat="1">
      <c r="A71" s="17"/>
    </row>
    <row r="72" spans="1:1" s="7" customFormat="1">
      <c r="A72" s="17"/>
    </row>
    <row r="73" spans="1:1" s="7" customFormat="1">
      <c r="A73" s="17"/>
    </row>
    <row r="74" spans="1:1" s="7" customFormat="1">
      <c r="A74" s="17"/>
    </row>
    <row r="75" spans="1:1" s="7" customFormat="1">
      <c r="A75" s="17"/>
    </row>
    <row r="76" spans="1:1" s="7" customFormat="1">
      <c r="A76" s="17"/>
    </row>
    <row r="77" spans="1:1" s="7" customFormat="1">
      <c r="A77" s="17"/>
    </row>
    <row r="78" spans="1:1" s="7" customFormat="1">
      <c r="A78" s="17"/>
    </row>
    <row r="79" spans="1:1" s="7" customFormat="1">
      <c r="A79" s="17"/>
    </row>
    <row r="80" spans="1:1" s="7" customFormat="1">
      <c r="A80" s="17"/>
    </row>
    <row r="81" spans="1:1" s="7" customFormat="1">
      <c r="A81" s="17"/>
    </row>
    <row r="82" spans="1:1" s="7" customFormat="1">
      <c r="A82" s="17"/>
    </row>
    <row r="83" spans="1:1" s="7" customFormat="1">
      <c r="A83" s="17"/>
    </row>
    <row r="84" spans="1:1" s="7" customFormat="1">
      <c r="A84" s="17"/>
    </row>
    <row r="85" spans="1:1" s="7" customFormat="1">
      <c r="A85" s="17"/>
    </row>
    <row r="86" spans="1:1" s="7" customFormat="1">
      <c r="A86" s="17"/>
    </row>
    <row r="87" spans="1:1" s="7" customFormat="1">
      <c r="A87" s="17"/>
    </row>
    <row r="88" spans="1:1" s="7" customFormat="1">
      <c r="A88" s="17"/>
    </row>
    <row r="89" spans="1:1" s="7" customFormat="1">
      <c r="A89" s="17"/>
    </row>
    <row r="90" spans="1:1" s="7" customFormat="1">
      <c r="A90" s="17"/>
    </row>
    <row r="91" spans="1:1" s="7" customFormat="1">
      <c r="A91" s="17"/>
    </row>
    <row r="92" spans="1:1" s="7" customFormat="1">
      <c r="A92" s="17"/>
    </row>
    <row r="93" spans="1:1" s="7" customFormat="1">
      <c r="A93" s="17"/>
    </row>
    <row r="94" spans="1:1" s="7" customFormat="1">
      <c r="A94" s="17"/>
    </row>
    <row r="95" spans="1:1" s="7" customFormat="1">
      <c r="A95" s="17"/>
    </row>
    <row r="96" spans="1:1" s="7" customFormat="1">
      <c r="A96" s="17"/>
    </row>
    <row r="97" spans="1:1" s="7" customFormat="1">
      <c r="A97" s="17"/>
    </row>
    <row r="98" spans="1:1" s="7" customFormat="1">
      <c r="A98" s="17"/>
    </row>
    <row r="99" spans="1:1" s="7" customFormat="1">
      <c r="A99" s="17"/>
    </row>
    <row r="100" spans="1:1" s="7" customFormat="1">
      <c r="A100" s="17"/>
    </row>
    <row r="101" spans="1:1" s="7" customFormat="1">
      <c r="A101" s="17"/>
    </row>
    <row r="102" spans="1:1" s="7" customFormat="1">
      <c r="A102" s="17"/>
    </row>
    <row r="103" spans="1:1" s="7" customFormat="1">
      <c r="A103" s="17"/>
    </row>
    <row r="104" spans="1:1" s="7" customFormat="1">
      <c r="A104" s="17"/>
    </row>
    <row r="105" spans="1:1" s="7" customFormat="1">
      <c r="A105" s="17"/>
    </row>
    <row r="106" spans="1:1" s="7" customFormat="1">
      <c r="A106" s="17"/>
    </row>
    <row r="107" spans="1:1" s="7" customFormat="1">
      <c r="A107" s="17"/>
    </row>
    <row r="108" spans="1:1" s="7" customFormat="1">
      <c r="A108" s="17"/>
    </row>
    <row r="109" spans="1:1" s="7" customFormat="1">
      <c r="A109" s="17"/>
    </row>
    <row r="110" spans="1:1" s="7" customFormat="1">
      <c r="A110" s="17"/>
    </row>
    <row r="111" spans="1:1" s="7" customFormat="1">
      <c r="A111" s="17"/>
    </row>
    <row r="112" spans="1:1" s="7" customFormat="1">
      <c r="A112" s="17"/>
    </row>
    <row r="113" spans="1:1" s="7" customFormat="1">
      <c r="A113" s="17"/>
    </row>
    <row r="114" spans="1:1" s="7" customFormat="1">
      <c r="A114" s="17"/>
    </row>
    <row r="115" spans="1:1" s="7" customFormat="1">
      <c r="A115" s="17"/>
    </row>
    <row r="116" spans="1:1" s="7" customFormat="1">
      <c r="A116" s="17"/>
    </row>
    <row r="117" spans="1:1" s="7" customFormat="1">
      <c r="A117" s="17"/>
    </row>
    <row r="118" spans="1:1" s="7" customFormat="1">
      <c r="A118" s="17"/>
    </row>
    <row r="119" spans="1:1" s="7" customFormat="1">
      <c r="A119" s="17"/>
    </row>
    <row r="120" spans="1:1" s="7" customFormat="1">
      <c r="A120" s="17"/>
    </row>
    <row r="121" spans="1:1" s="7" customFormat="1">
      <c r="A121" s="17"/>
    </row>
    <row r="122" spans="1:1" s="7" customFormat="1">
      <c r="A122" s="17"/>
    </row>
    <row r="123" spans="1:1" s="7" customFormat="1">
      <c r="A123" s="17"/>
    </row>
    <row r="124" spans="1:1" s="7" customFormat="1">
      <c r="A124" s="17"/>
    </row>
    <row r="125" spans="1:1" s="7" customFormat="1">
      <c r="A125" s="17"/>
    </row>
    <row r="126" spans="1:1" s="7" customFormat="1">
      <c r="A126" s="17"/>
    </row>
    <row r="127" spans="1:1" s="7" customFormat="1">
      <c r="A127" s="17"/>
    </row>
    <row r="128" spans="1:1" s="7" customFormat="1">
      <c r="A128" s="17"/>
    </row>
    <row r="129" spans="1:1" s="7" customFormat="1">
      <c r="A129" s="17"/>
    </row>
    <row r="130" spans="1:1" s="7" customFormat="1">
      <c r="A130" s="17"/>
    </row>
    <row r="131" spans="1:1" s="7" customFormat="1">
      <c r="A131" s="17"/>
    </row>
    <row r="132" spans="1:1" s="7" customFormat="1">
      <c r="A132" s="17"/>
    </row>
    <row r="133" spans="1:1" s="7" customFormat="1">
      <c r="A133" s="17"/>
    </row>
    <row r="134" spans="1:1" s="7" customFormat="1">
      <c r="A134" s="17"/>
    </row>
    <row r="135" spans="1:1" s="7" customFormat="1">
      <c r="A135" s="17"/>
    </row>
    <row r="136" spans="1:1" s="7" customFormat="1">
      <c r="A136" s="17"/>
    </row>
    <row r="137" spans="1:1" s="7" customFormat="1">
      <c r="A137" s="17"/>
    </row>
    <row r="138" spans="1:1" s="7" customFormat="1">
      <c r="A138" s="1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Marcos</cp:lastModifiedBy>
  <dcterms:created xsi:type="dcterms:W3CDTF">2024-12-19T13:13:10Z</dcterms:created>
  <dcterms:modified xsi:type="dcterms:W3CDTF">2025-11-11T15:52:42Z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